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طرح\"/>
    </mc:Choice>
  </mc:AlternateContent>
  <xr:revisionPtr revIDLastSave="0" documentId="13_ncr:1_{E0F817BB-782C-4A67-8EEF-5F58464F6293}" xr6:coauthVersionLast="47" xr6:coauthVersionMax="47" xr10:uidLastSave="{00000000-0000-0000-0000-000000000000}"/>
  <bookViews>
    <workbookView xWindow="-108" yWindow="-108" windowWidth="23256" windowHeight="12456" activeTab="1" xr2:uid="{CB1E7D09-A355-4E6B-8AAE-ADE03876380E}"/>
  </bookViews>
  <sheets>
    <sheet name="Based on USD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O27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41" i="1"/>
  <c r="D40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 s="1"/>
  <c r="D28" i="1" s="1"/>
  <c r="D9" i="1"/>
  <c r="B17" i="1"/>
  <c r="B3" i="1"/>
  <c r="B4" i="1"/>
  <c r="B5" i="1"/>
  <c r="F5" i="1" s="1"/>
  <c r="K5" i="1" s="1"/>
  <c r="B6" i="1"/>
  <c r="B7" i="1"/>
  <c r="F6" i="1"/>
  <c r="K6" i="1" s="1"/>
  <c r="F37" i="1"/>
  <c r="M37" i="1" s="1"/>
  <c r="N37" i="1" s="1"/>
  <c r="G23" i="1"/>
  <c r="G24" i="1"/>
  <c r="G25" i="1"/>
  <c r="G26" i="1"/>
  <c r="G27" i="1"/>
  <c r="G28" i="1"/>
  <c r="G55" i="1"/>
  <c r="G56" i="1"/>
  <c r="G57" i="1"/>
  <c r="G58" i="1"/>
  <c r="G59" i="1"/>
  <c r="G60" i="1"/>
  <c r="B9" i="1"/>
  <c r="D79" i="1"/>
  <c r="D80" i="1"/>
  <c r="D81" i="1"/>
  <c r="D82" i="1"/>
  <c r="D83" i="1"/>
  <c r="E42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40" i="1"/>
  <c r="G8" i="1"/>
  <c r="F60" i="1"/>
  <c r="F38" i="1"/>
  <c r="M38" i="1" s="1"/>
  <c r="N38" i="1" s="1"/>
  <c r="F34" i="1"/>
  <c r="M34" i="1" s="1"/>
  <c r="N34" i="1" s="1"/>
  <c r="O34" i="1" s="1"/>
  <c r="E59" i="1"/>
  <c r="E60" i="1"/>
  <c r="E52" i="1"/>
  <c r="E53" i="1"/>
  <c r="E54" i="1"/>
  <c r="E55" i="1"/>
  <c r="E56" i="1"/>
  <c r="E57" i="1"/>
  <c r="E58" i="1"/>
  <c r="E77" i="1"/>
  <c r="E78" i="1" s="1"/>
  <c r="E79" i="1" s="1"/>
  <c r="E80" i="1" s="1"/>
  <c r="E81" i="1" s="1"/>
  <c r="E82" i="1" s="1"/>
  <c r="E83" i="1" s="1"/>
  <c r="I69" i="1"/>
  <c r="D78" i="1"/>
  <c r="E35" i="1"/>
  <c r="E36" i="1" s="1"/>
  <c r="E37" i="1" s="1"/>
  <c r="E38" i="1" s="1"/>
  <c r="E39" i="1" s="1"/>
  <c r="E40" i="1" s="1"/>
  <c r="E41" i="1" s="1"/>
  <c r="E43" i="1" s="1"/>
  <c r="E44" i="1" s="1"/>
  <c r="E45" i="1" s="1"/>
  <c r="E46" i="1" s="1"/>
  <c r="E47" i="1" s="1"/>
  <c r="E48" i="1" s="1"/>
  <c r="E49" i="1" s="1"/>
  <c r="E50" i="1" s="1"/>
  <c r="E51" i="1" s="1"/>
  <c r="I20" i="1"/>
  <c r="I21" i="1"/>
  <c r="I22" i="1"/>
  <c r="I23" i="1"/>
  <c r="I24" i="1"/>
  <c r="I25" i="1"/>
  <c r="I26" i="1"/>
  <c r="I27" i="1"/>
  <c r="I28" i="1"/>
  <c r="G20" i="1"/>
  <c r="G21" i="1"/>
  <c r="G22" i="1"/>
  <c r="F28" i="1"/>
  <c r="G9" i="1"/>
  <c r="G10" i="1"/>
  <c r="G11" i="1"/>
  <c r="G12" i="1"/>
  <c r="G13" i="1"/>
  <c r="G14" i="1"/>
  <c r="G15" i="1"/>
  <c r="G16" i="1"/>
  <c r="G17" i="1"/>
  <c r="G18" i="1"/>
  <c r="G19" i="1"/>
  <c r="B12" i="1"/>
  <c r="F3" i="1"/>
  <c r="K3" i="1" s="1"/>
  <c r="F39" i="1" l="1"/>
  <c r="M39" i="1" s="1"/>
  <c r="N39" i="1" s="1"/>
  <c r="F7" i="1"/>
  <c r="K7" i="1" s="1"/>
  <c r="F36" i="1"/>
  <c r="M36" i="1" s="1"/>
  <c r="N36" i="1" s="1"/>
  <c r="F4" i="1"/>
  <c r="K4" i="1" s="1"/>
  <c r="I70" i="1"/>
  <c r="I71" i="1" s="1"/>
  <c r="I72" i="1" s="1"/>
  <c r="I73" i="1" s="1"/>
  <c r="I74" i="1" s="1"/>
  <c r="I75" i="1" s="1"/>
  <c r="I76" i="1" s="1"/>
  <c r="F35" i="1"/>
  <c r="M35" i="1" s="1"/>
  <c r="N35" i="1" s="1"/>
  <c r="O35" i="1" s="1"/>
  <c r="H26" i="1"/>
  <c r="J26" i="1" s="1"/>
  <c r="K26" i="1" s="1"/>
  <c r="H23" i="1"/>
  <c r="J23" i="1" s="1"/>
  <c r="K23" i="1" s="1"/>
  <c r="H19" i="1"/>
  <c r="H24" i="1"/>
  <c r="J24" i="1" s="1"/>
  <c r="K24" i="1" s="1"/>
  <c r="H28" i="1"/>
  <c r="J28" i="1" s="1"/>
  <c r="K28" i="1" s="1"/>
  <c r="H27" i="1"/>
  <c r="J27" i="1" s="1"/>
  <c r="K27" i="1" s="1"/>
  <c r="H25" i="1"/>
  <c r="J25" i="1" s="1"/>
  <c r="K25" i="1" s="1"/>
  <c r="H22" i="1"/>
  <c r="J22" i="1" s="1"/>
  <c r="K22" i="1" s="1"/>
  <c r="H21" i="1"/>
  <c r="J21" i="1" s="1"/>
  <c r="K21" i="1" s="1"/>
  <c r="H20" i="1"/>
  <c r="J20" i="1" s="1"/>
  <c r="K20" i="1" s="1"/>
  <c r="H60" i="1"/>
  <c r="L60" i="1" s="1"/>
  <c r="M60" i="1" s="1"/>
  <c r="N60" i="1" s="1"/>
  <c r="H41" i="1"/>
  <c r="L41" i="1" s="1"/>
  <c r="M41" i="1" s="1"/>
  <c r="N41" i="1" s="1"/>
  <c r="H40" i="1"/>
  <c r="L40" i="1" s="1"/>
  <c r="M40" i="1" s="1"/>
  <c r="N40" i="1" s="1"/>
  <c r="H42" i="1"/>
  <c r="H43" i="1"/>
  <c r="H44" i="1"/>
  <c r="H45" i="1"/>
  <c r="H46" i="1"/>
  <c r="H47" i="1"/>
  <c r="H48" i="1"/>
  <c r="H49" i="1"/>
  <c r="L49" i="1" s="1"/>
  <c r="M49" i="1" s="1"/>
  <c r="N49" i="1" s="1"/>
  <c r="H50" i="1"/>
  <c r="L50" i="1" s="1"/>
  <c r="M50" i="1" s="1"/>
  <c r="N50" i="1" s="1"/>
  <c r="H51" i="1"/>
  <c r="H52" i="1"/>
  <c r="L52" i="1" s="1"/>
  <c r="M52" i="1" s="1"/>
  <c r="N52" i="1" s="1"/>
  <c r="H53" i="1"/>
  <c r="L53" i="1" s="1"/>
  <c r="M53" i="1" s="1"/>
  <c r="N53" i="1" s="1"/>
  <c r="H54" i="1"/>
  <c r="L54" i="1" s="1"/>
  <c r="M54" i="1" s="1"/>
  <c r="N54" i="1" s="1"/>
  <c r="H55" i="1"/>
  <c r="L55" i="1" s="1"/>
  <c r="M55" i="1" s="1"/>
  <c r="N55" i="1" s="1"/>
  <c r="H56" i="1"/>
  <c r="L56" i="1" s="1"/>
  <c r="M56" i="1" s="1"/>
  <c r="N56" i="1" s="1"/>
  <c r="H57" i="1"/>
  <c r="L57" i="1" s="1"/>
  <c r="M57" i="1" s="1"/>
  <c r="N57" i="1" s="1"/>
  <c r="H58" i="1"/>
  <c r="L58" i="1" s="1"/>
  <c r="M58" i="1" s="1"/>
  <c r="N58" i="1" s="1"/>
  <c r="H59" i="1"/>
  <c r="L59" i="1" s="1"/>
  <c r="M59" i="1" s="1"/>
  <c r="N59" i="1" s="1"/>
  <c r="L51" i="1"/>
  <c r="M51" i="1" s="1"/>
  <c r="N51" i="1" s="1"/>
  <c r="H9" i="1"/>
  <c r="H8" i="1"/>
  <c r="O36" i="1" l="1"/>
  <c r="O37" i="1" s="1"/>
  <c r="O38" i="1" s="1"/>
  <c r="O39" i="1" s="1"/>
  <c r="O40" i="1" s="1"/>
  <c r="O41" i="1" s="1"/>
  <c r="F64" i="1"/>
  <c r="F77" i="1" s="1"/>
  <c r="G77" i="1"/>
  <c r="K42" i="1" s="1"/>
  <c r="H12" i="1"/>
  <c r="J42" i="1" l="1"/>
  <c r="L42" i="1" s="1"/>
  <c r="M42" i="1" s="1"/>
  <c r="N42" i="1" s="1"/>
  <c r="H77" i="1"/>
  <c r="I77" i="1" s="1"/>
  <c r="F83" i="1"/>
  <c r="J48" i="1" s="1"/>
  <c r="F80" i="1"/>
  <c r="J45" i="1" s="1"/>
  <c r="O42" i="1"/>
  <c r="F81" i="1"/>
  <c r="J46" i="1" s="1"/>
  <c r="F79" i="1"/>
  <c r="J44" i="1" s="1"/>
  <c r="F78" i="1"/>
  <c r="J43" i="1" s="1"/>
  <c r="F82" i="1"/>
  <c r="J47" i="1" s="1"/>
  <c r="G78" i="1"/>
  <c r="H10" i="1"/>
  <c r="H18" i="1"/>
  <c r="H15" i="1"/>
  <c r="H11" i="1"/>
  <c r="H16" i="1"/>
  <c r="H14" i="1"/>
  <c r="H17" i="1"/>
  <c r="H13" i="1"/>
  <c r="F2" i="1"/>
  <c r="K2" i="1" s="1"/>
  <c r="L2" i="1" s="1"/>
  <c r="M2" i="1" s="1"/>
  <c r="E3" i="1"/>
  <c r="H78" i="1" l="1"/>
  <c r="I78" i="1" s="1"/>
  <c r="G79" i="1" s="1"/>
  <c r="K43" i="1"/>
  <c r="E4" i="1"/>
  <c r="L3" i="1"/>
  <c r="M3" i="1" s="1"/>
  <c r="K44" i="1" l="1"/>
  <c r="H79" i="1"/>
  <c r="I79" i="1" s="1"/>
  <c r="G80" i="1" s="1"/>
  <c r="L4" i="1"/>
  <c r="M4" i="1" s="1"/>
  <c r="E5" i="1"/>
  <c r="I10" i="1"/>
  <c r="I11" i="1"/>
  <c r="I12" i="1"/>
  <c r="I13" i="1"/>
  <c r="I14" i="1"/>
  <c r="I15" i="1"/>
  <c r="I16" i="1"/>
  <c r="I17" i="1"/>
  <c r="I18" i="1"/>
  <c r="I9" i="1"/>
  <c r="I19" i="1"/>
  <c r="I8" i="1"/>
  <c r="K45" i="1" l="1"/>
  <c r="L45" i="1" s="1"/>
  <c r="M45" i="1" s="1"/>
  <c r="N45" i="1" s="1"/>
  <c r="H80" i="1"/>
  <c r="I80" i="1" s="1"/>
  <c r="G81" i="1" s="1"/>
  <c r="L5" i="1"/>
  <c r="M5" i="1" s="1"/>
  <c r="E6" i="1"/>
  <c r="J11" i="1"/>
  <c r="J17" i="1"/>
  <c r="K17" i="1" s="1"/>
  <c r="L17" i="1" s="1"/>
  <c r="J16" i="1"/>
  <c r="K16" i="1" s="1"/>
  <c r="L16" i="1" s="1"/>
  <c r="J12" i="1"/>
  <c r="K12" i="1" s="1"/>
  <c r="L12" i="1" s="1"/>
  <c r="J14" i="1"/>
  <c r="K14" i="1" s="1"/>
  <c r="L14" i="1" s="1"/>
  <c r="J13" i="1"/>
  <c r="K13" i="1" s="1"/>
  <c r="L13" i="1" s="1"/>
  <c r="J9" i="1"/>
  <c r="K9" i="1" s="1"/>
  <c r="L9" i="1" s="1"/>
  <c r="J10" i="1"/>
  <c r="J8" i="1"/>
  <c r="K8" i="1" s="1"/>
  <c r="L8" i="1" s="1"/>
  <c r="J19" i="1"/>
  <c r="K19" i="1" s="1"/>
  <c r="L19" i="1" s="1"/>
  <c r="J15" i="1"/>
  <c r="K15" i="1" s="1"/>
  <c r="L15" i="1" s="1"/>
  <c r="J18" i="1"/>
  <c r="K18" i="1" s="1"/>
  <c r="L18" i="1" s="1"/>
  <c r="K46" i="1" l="1"/>
  <c r="L46" i="1" s="1"/>
  <c r="M46" i="1" s="1"/>
  <c r="N46" i="1" s="1"/>
  <c r="H81" i="1"/>
  <c r="I81" i="1" s="1"/>
  <c r="G82" i="1" s="1"/>
  <c r="L6" i="1"/>
  <c r="M6" i="1" s="1"/>
  <c r="E7" i="1"/>
  <c r="K10" i="1"/>
  <c r="L10" i="1" s="1"/>
  <c r="K47" i="1" l="1"/>
  <c r="L47" i="1" s="1"/>
  <c r="M47" i="1" s="1"/>
  <c r="N47" i="1" s="1"/>
  <c r="H82" i="1"/>
  <c r="I82" i="1" s="1"/>
  <c r="G83" i="1" s="1"/>
  <c r="L7" i="1"/>
  <c r="M7" i="1" s="1"/>
  <c r="M8" i="1" s="1"/>
  <c r="M9" i="1" s="1"/>
  <c r="M10" i="1" s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H83" i="1" l="1"/>
  <c r="I83" i="1" s="1"/>
  <c r="K48" i="1"/>
  <c r="L48" i="1" s="1"/>
  <c r="M48" i="1" s="1"/>
  <c r="N48" i="1" s="1"/>
  <c r="L20" i="1"/>
  <c r="E21" i="1"/>
  <c r="K11" i="1"/>
  <c r="L11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L21" i="1" l="1"/>
  <c r="M21" i="1" s="1"/>
  <c r="E22" i="1"/>
  <c r="L43" i="1"/>
  <c r="M43" i="1" s="1"/>
  <c r="N43" i="1" s="1"/>
  <c r="O43" i="1" s="1"/>
  <c r="L22" i="1" l="1"/>
  <c r="M22" i="1" s="1"/>
  <c r="E23" i="1"/>
  <c r="L23" i="1" l="1"/>
  <c r="M23" i="1" s="1"/>
  <c r="E24" i="1"/>
  <c r="L44" i="1"/>
  <c r="M44" i="1" s="1"/>
  <c r="N44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Q59" i="1" s="1"/>
  <c r="L24" i="1" l="1"/>
  <c r="M24" i="1" s="1"/>
  <c r="E25" i="1"/>
  <c r="L25" i="1" l="1"/>
  <c r="M25" i="1" s="1"/>
  <c r="E26" i="1"/>
  <c r="L26" i="1" l="1"/>
  <c r="M26" i="1" s="1"/>
  <c r="E27" i="1"/>
  <c r="L27" i="1" l="1"/>
  <c r="M27" i="1" s="1"/>
  <c r="E28" i="1"/>
  <c r="L28" i="1" s="1"/>
  <c r="M28" i="1" l="1"/>
  <c r="B8" i="3"/>
  <c r="B14" i="3"/>
  <c r="B17" i="3"/>
  <c r="B5" i="3"/>
  <c r="B18" i="3"/>
  <c r="B13" i="3"/>
  <c r="B16" i="3"/>
  <c r="B6" i="3"/>
  <c r="B19" i="3"/>
  <c r="B2" i="3"/>
  <c r="B12" i="3"/>
  <c r="B15" i="3"/>
  <c r="B7" i="3"/>
  <c r="B4" i="3"/>
  <c r="B3" i="3"/>
  <c r="B9" i="3"/>
  <c r="B11" i="3"/>
  <c r="B10" i="3"/>
</calcChain>
</file>

<file path=xl/sharedStrings.xml><?xml version="1.0" encoding="utf-8"?>
<sst xmlns="http://schemas.openxmlformats.org/spreadsheetml/2006/main" count="54" uniqueCount="41">
  <si>
    <t>Taxation rate</t>
  </si>
  <si>
    <t>Project life (years)</t>
  </si>
  <si>
    <t>Depreciation (years)</t>
  </si>
  <si>
    <t>WC (M$)</t>
  </si>
  <si>
    <t>Discounted Cash Flow (M$)</t>
  </si>
  <si>
    <t>L</t>
  </si>
  <si>
    <t>End of year</t>
  </si>
  <si>
    <t>Interest payment</t>
  </si>
  <si>
    <t>Pricipal payment</t>
  </si>
  <si>
    <t>Remaining principal</t>
  </si>
  <si>
    <t>End of Year</t>
  </si>
  <si>
    <t>Discount rate</t>
  </si>
  <si>
    <t>Years</t>
  </si>
  <si>
    <t>I</t>
  </si>
  <si>
    <t>Cumene price ($)</t>
  </si>
  <si>
    <t>COM_d ($)</t>
  </si>
  <si>
    <t>Salvage value of plant ($)</t>
  </si>
  <si>
    <t>Yearly sales revenue ($)</t>
  </si>
  <si>
    <t>FCI during year 5 ($)</t>
  </si>
  <si>
    <t>FCI during year 4 ($)</t>
  </si>
  <si>
    <t>FCI during year 3 ($)</t>
  </si>
  <si>
    <t>FCI during year 2 ($)</t>
  </si>
  <si>
    <t>FCI during year 1 ($)</t>
  </si>
  <si>
    <t>FCI ($)</t>
  </si>
  <si>
    <t>Cost of land ($)</t>
  </si>
  <si>
    <t>Investment ($)</t>
  </si>
  <si>
    <t>d_k ($)</t>
  </si>
  <si>
    <t>Revenue ($)</t>
  </si>
  <si>
    <t>Discounted Cash Flow ($)</t>
  </si>
  <si>
    <t>Cumulative Discounted Cash Flow ($)</t>
  </si>
  <si>
    <t>Non-discounted Cash Flow ($)</t>
  </si>
  <si>
    <t>Annual Cash Flow ($)</t>
  </si>
  <si>
    <t>COM ($)</t>
  </si>
  <si>
    <t>L ($)</t>
  </si>
  <si>
    <t>I ($)</t>
  </si>
  <si>
    <t>Plant capacity (T)</t>
  </si>
  <si>
    <t>NPV ($)</t>
  </si>
  <si>
    <t>ROI (%)</t>
  </si>
  <si>
    <t>Loan Calculation</t>
  </si>
  <si>
    <t>With a Loan</t>
  </si>
  <si>
    <t>No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</si>
</sst>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44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10" fontId="1" fillId="0" borderId="0" xfId="0" applyNumberFormat="1" applyFont="1" applyFill="1" applyBorder="1" applyAlignment="1">
      <alignment horizontal="center"/>
    </xf>
    <xf numFmtId="44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44" fontId="1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44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5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discounted Cash flow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Sheet1!$A$2:$A$19</c:f>
              <c:numCache>
                <c:formatCode>General</c:formatCode>
                <c:ptCount val="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xVal>
          <c:yVal>
            <c:numRef>
              <c:f>Sheet1!$B$2:$B$19</c:f>
              <c:numCache>
                <c:formatCode>General</c:formatCode>
                <c:ptCount val="18"/>
                <c:pt idx="0">
                  <c:v>-200000000000</c:v>
                </c:pt>
                <c:pt idx="1">
                  <c:v>0</c:v>
                </c:pt>
                <c:pt idx="2">
                  <c:v>-194589979153.81769</c:v>
                </c:pt>
                <c:pt idx="3">
                  <c:v>297446415222.15082</c:v>
                </c:pt>
                <c:pt idx="4">
                  <c:v>-526312004429.13824</c:v>
                </c:pt>
                <c:pt idx="5">
                  <c:v>-243631307049.37994</c:v>
                </c:pt>
                <c:pt idx="6">
                  <c:v>-73468085434.067184</c:v>
                </c:pt>
                <c:pt idx="7">
                  <c:v>24808799832.927784</c:v>
                </c:pt>
                <c:pt idx="8">
                  <c:v>77756628057.800201</c:v>
                </c:pt>
                <c:pt idx="9">
                  <c:v>102637926911.60283</c:v>
                </c:pt>
                <c:pt idx="10">
                  <c:v>156950083684.4931</c:v>
                </c:pt>
                <c:pt idx="11">
                  <c:v>132721477234.93066</c:v>
                </c:pt>
                <c:pt idx="12">
                  <c:v>111543323171.69926</c:v>
                </c:pt>
                <c:pt idx="13">
                  <c:v>93297586154.002686</c:v>
                </c:pt>
                <c:pt idx="14">
                  <c:v>77744996931.579483</c:v>
                </c:pt>
                <c:pt idx="15">
                  <c:v>64594101537.82914</c:v>
                </c:pt>
                <c:pt idx="16">
                  <c:v>53542203967.017189</c:v>
                </c:pt>
                <c:pt idx="17">
                  <c:v>44957833360.370346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D9-46B5-88A8-3B2EC69F8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587103"/>
        <c:axId val="1311589983"/>
      </c:scatterChart>
      <c:valAx>
        <c:axId val="131158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589983"/>
        <c:crosses val="autoZero"/>
        <c:crossBetween val="midCat"/>
      </c:valAx>
      <c:valAx>
        <c:axId val="131158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58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102870</xdr:rowOff>
    </xdr:from>
    <xdr:to>
      <xdr:col>10</xdr:col>
      <xdr:colOff>297180</xdr:colOff>
      <xdr:row>17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8B05F-FC89-0634-C05A-6A8D3C4AA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C0D6-7B2B-4B5F-83DA-AA4409956C5F}">
  <dimension ref="A1:AL244"/>
  <sheetViews>
    <sheetView topLeftCell="J25" zoomScale="70" zoomScaleNormal="70" workbookViewId="0">
      <selection activeCell="N33" sqref="N33"/>
    </sheetView>
  </sheetViews>
  <sheetFormatPr defaultColWidth="9.109375" defaultRowHeight="13.8" x14ac:dyDescent="0.25"/>
  <cols>
    <col min="1" max="1" width="26.6640625" style="1" customWidth="1"/>
    <col min="2" max="2" width="23" style="1" customWidth="1"/>
    <col min="3" max="3" width="25.5546875" style="1" customWidth="1"/>
    <col min="4" max="4" width="9.109375" style="1"/>
    <col min="5" max="5" width="14.109375" style="1" customWidth="1"/>
    <col min="6" max="6" width="25.44140625" style="1" customWidth="1"/>
    <col min="7" max="7" width="30" style="1" customWidth="1"/>
    <col min="8" max="8" width="28" style="1" customWidth="1"/>
    <col min="9" max="9" width="27.88671875" style="1" customWidth="1"/>
    <col min="10" max="10" width="24.44140625" style="1" customWidth="1"/>
    <col min="11" max="11" width="33" style="1" customWidth="1"/>
    <col min="12" max="12" width="27.88671875" style="1" customWidth="1"/>
    <col min="13" max="13" width="39" style="1" customWidth="1"/>
    <col min="14" max="14" width="30" style="1" customWidth="1"/>
    <col min="15" max="15" width="42.44140625" style="1" customWidth="1"/>
    <col min="16" max="16" width="18.5546875" style="1" customWidth="1"/>
    <col min="17" max="17" width="20.44140625" style="1" customWidth="1"/>
    <col min="18" max="18" width="20" style="1" customWidth="1"/>
    <col min="19" max="19" width="29.44140625" style="1" customWidth="1"/>
    <col min="20" max="20" width="24.44140625" style="1" customWidth="1"/>
    <col min="21" max="21" width="27.5546875" style="1" customWidth="1"/>
    <col min="22" max="22" width="21.44140625" style="1" customWidth="1"/>
    <col min="23" max="23" width="24.44140625" style="1" customWidth="1"/>
    <col min="24" max="16384" width="9.109375" style="1"/>
  </cols>
  <sheetData>
    <row r="1" spans="1:21" x14ac:dyDescent="0.25">
      <c r="A1" s="2" t="s">
        <v>24</v>
      </c>
      <c r="B1" s="3">
        <v>0</v>
      </c>
      <c r="C1" s="33" t="s">
        <v>40</v>
      </c>
      <c r="E1" s="5" t="s">
        <v>10</v>
      </c>
      <c r="F1" s="5" t="s">
        <v>25</v>
      </c>
      <c r="G1" s="5" t="s">
        <v>26</v>
      </c>
      <c r="H1" s="5" t="s">
        <v>27</v>
      </c>
      <c r="I1" s="5" t="s">
        <v>32</v>
      </c>
      <c r="J1" s="5" t="s">
        <v>31</v>
      </c>
      <c r="K1" s="5" t="s">
        <v>30</v>
      </c>
      <c r="L1" s="5" t="s">
        <v>28</v>
      </c>
      <c r="M1" s="5" t="s">
        <v>29</v>
      </c>
      <c r="N1" s="20"/>
      <c r="O1" s="21"/>
      <c r="P1" s="20"/>
      <c r="Q1" s="20"/>
      <c r="R1" s="20"/>
      <c r="S1" s="20"/>
      <c r="T1" s="20"/>
      <c r="U1" s="20"/>
    </row>
    <row r="2" spans="1:21" x14ac:dyDescent="0.25">
      <c r="A2" s="2" t="s">
        <v>23</v>
      </c>
      <c r="B2" s="3">
        <v>18446204</v>
      </c>
      <c r="C2" s="33"/>
      <c r="E2" s="3">
        <v>0</v>
      </c>
      <c r="F2" s="3">
        <f>-B1</f>
        <v>0</v>
      </c>
      <c r="G2" s="3"/>
      <c r="H2" s="3"/>
      <c r="I2" s="3"/>
      <c r="J2" s="3"/>
      <c r="K2" s="3">
        <f>F2</f>
        <v>0</v>
      </c>
      <c r="L2" s="3">
        <f t="shared" ref="L2:L7" si="0">K2/(1+$B$15)^E2</f>
        <v>0</v>
      </c>
      <c r="M2" s="3">
        <f>L2</f>
        <v>0</v>
      </c>
      <c r="N2" s="20"/>
      <c r="O2" s="22"/>
      <c r="P2" s="20"/>
      <c r="Q2" s="20"/>
      <c r="R2" s="20"/>
      <c r="S2" s="20"/>
      <c r="T2" s="20"/>
      <c r="U2" s="20"/>
    </row>
    <row r="3" spans="1:21" x14ac:dyDescent="0.25">
      <c r="A3" s="2" t="s">
        <v>22</v>
      </c>
      <c r="B3" s="3">
        <f>0.2*$B$2</f>
        <v>3689240.8000000003</v>
      </c>
      <c r="C3" s="33"/>
      <c r="E3" s="3">
        <f>E2+1</f>
        <v>1</v>
      </c>
      <c r="F3" s="3">
        <f>-B3</f>
        <v>-3689240.8000000003</v>
      </c>
      <c r="G3" s="3"/>
      <c r="H3" s="3"/>
      <c r="I3" s="3"/>
      <c r="J3" s="3"/>
      <c r="K3" s="3">
        <f t="shared" ref="K3:K7" si="1">F3</f>
        <v>-3689240.8000000003</v>
      </c>
      <c r="L3" s="3">
        <f t="shared" si="0"/>
        <v>-3126475.2542372886</v>
      </c>
      <c r="M3" s="3">
        <f>M2+L3</f>
        <v>-3126475.2542372886</v>
      </c>
      <c r="N3" s="21"/>
      <c r="O3" s="20"/>
      <c r="P3" s="20"/>
      <c r="Q3" s="20"/>
      <c r="R3" s="20"/>
      <c r="S3" s="20"/>
      <c r="T3" s="20"/>
      <c r="U3" s="20"/>
    </row>
    <row r="4" spans="1:21" x14ac:dyDescent="0.25">
      <c r="A4" s="2" t="s">
        <v>21</v>
      </c>
      <c r="B4" s="3">
        <f t="shared" ref="B4:B7" si="2">0.2*$B$2</f>
        <v>3689240.8000000003</v>
      </c>
      <c r="C4" s="33"/>
      <c r="E4" s="3">
        <f t="shared" ref="E4:E12" si="3">E3+1</f>
        <v>2</v>
      </c>
      <c r="F4" s="3">
        <f t="shared" ref="F4:F6" si="4">-B4</f>
        <v>-3689240.8000000003</v>
      </c>
      <c r="G4" s="3"/>
      <c r="H4" s="3"/>
      <c r="I4" s="3"/>
      <c r="J4" s="3"/>
      <c r="K4" s="3">
        <f t="shared" si="1"/>
        <v>-3689240.8000000003</v>
      </c>
      <c r="L4" s="3">
        <f t="shared" si="0"/>
        <v>-2649555.3002010919</v>
      </c>
      <c r="M4" s="3">
        <f t="shared" ref="M4:M28" si="5">M3+L4</f>
        <v>-5776030.5544383805</v>
      </c>
      <c r="N4" s="21"/>
      <c r="O4" s="20"/>
      <c r="P4" s="20"/>
      <c r="Q4" s="20"/>
      <c r="R4" s="20"/>
      <c r="S4" s="20"/>
      <c r="T4" s="20"/>
      <c r="U4" s="20"/>
    </row>
    <row r="5" spans="1:21" x14ac:dyDescent="0.25">
      <c r="A5" s="2" t="s">
        <v>20</v>
      </c>
      <c r="B5" s="3">
        <f t="shared" si="2"/>
        <v>3689240.8000000003</v>
      </c>
      <c r="C5" s="33"/>
      <c r="E5" s="3">
        <f t="shared" si="3"/>
        <v>3</v>
      </c>
      <c r="F5" s="3">
        <f t="shared" si="4"/>
        <v>-3689240.8000000003</v>
      </c>
      <c r="G5" s="3"/>
      <c r="H5" s="3"/>
      <c r="I5" s="3"/>
      <c r="J5" s="3"/>
      <c r="K5" s="3">
        <f t="shared" si="1"/>
        <v>-3689240.8000000003</v>
      </c>
      <c r="L5" s="3">
        <f t="shared" si="0"/>
        <v>-2245385.847628044</v>
      </c>
      <c r="M5" s="3">
        <f t="shared" si="5"/>
        <v>-8021416.4020664245</v>
      </c>
      <c r="N5" s="32"/>
      <c r="O5" s="32"/>
      <c r="P5" s="32"/>
      <c r="Q5" s="32"/>
      <c r="R5" s="32"/>
      <c r="S5" s="32"/>
      <c r="T5" s="32"/>
      <c r="U5" s="32"/>
    </row>
    <row r="6" spans="1:21" x14ac:dyDescent="0.25">
      <c r="A6" s="2" t="s">
        <v>19</v>
      </c>
      <c r="B6" s="3">
        <f t="shared" si="2"/>
        <v>3689240.8000000003</v>
      </c>
      <c r="C6" s="33"/>
      <c r="E6" s="3">
        <f t="shared" si="3"/>
        <v>4</v>
      </c>
      <c r="F6" s="3">
        <f t="shared" si="4"/>
        <v>-3689240.8000000003</v>
      </c>
      <c r="G6" s="3"/>
      <c r="H6" s="3"/>
      <c r="I6" s="3"/>
      <c r="J6" s="3"/>
      <c r="K6" s="3">
        <f t="shared" si="1"/>
        <v>-3689240.8000000003</v>
      </c>
      <c r="L6" s="3">
        <f t="shared" si="0"/>
        <v>-1902869.3623966479</v>
      </c>
      <c r="M6" s="3">
        <f t="shared" si="5"/>
        <v>-9924285.7644630726</v>
      </c>
      <c r="N6" s="20"/>
      <c r="O6" s="20"/>
      <c r="P6" s="20"/>
      <c r="Q6" s="20"/>
      <c r="R6" s="20"/>
      <c r="S6" s="20"/>
      <c r="T6" s="20"/>
      <c r="U6" s="20"/>
    </row>
    <row r="7" spans="1:21" x14ac:dyDescent="0.25">
      <c r="A7" s="2" t="s">
        <v>18</v>
      </c>
      <c r="B7" s="3">
        <f t="shared" si="2"/>
        <v>3689240.8000000003</v>
      </c>
      <c r="C7" s="33"/>
      <c r="E7" s="3">
        <f t="shared" si="3"/>
        <v>5</v>
      </c>
      <c r="F7" s="3">
        <f>-B7-B8</f>
        <v>-6914452.8000000007</v>
      </c>
      <c r="G7" s="3"/>
      <c r="H7" s="3"/>
      <c r="I7" s="3"/>
      <c r="J7" s="3"/>
      <c r="K7" s="3">
        <f t="shared" si="1"/>
        <v>-6914452.8000000007</v>
      </c>
      <c r="L7" s="3">
        <f t="shared" si="0"/>
        <v>-3022371.0440705009</v>
      </c>
      <c r="M7" s="3">
        <f t="shared" si="5"/>
        <v>-12946656.808533574</v>
      </c>
      <c r="N7" s="20"/>
      <c r="O7" s="20"/>
      <c r="P7" s="20"/>
      <c r="Q7" s="20"/>
      <c r="R7" s="20"/>
      <c r="S7" s="20"/>
      <c r="T7" s="20"/>
      <c r="U7" s="20"/>
    </row>
    <row r="8" spans="1:21" x14ac:dyDescent="0.25">
      <c r="A8" s="2" t="s">
        <v>3</v>
      </c>
      <c r="B8" s="3">
        <v>3225212</v>
      </c>
      <c r="C8" s="33"/>
      <c r="D8" s="1">
        <v>2026</v>
      </c>
      <c r="E8" s="3">
        <f t="shared" si="3"/>
        <v>6</v>
      </c>
      <c r="F8" s="3"/>
      <c r="G8" s="3">
        <f>($B$2*0.9)/$B$13</f>
        <v>1106772.24</v>
      </c>
      <c r="H8" s="3">
        <f>$B$9*0.5</f>
        <v>65934000</v>
      </c>
      <c r="I8" s="3">
        <f t="shared" ref="I8:I19" si="6">$B$10</f>
        <v>112275165</v>
      </c>
      <c r="J8" s="3">
        <f t="shared" ref="J8:J19" si="7">((H8-I8-G8)*(1-$B$11))+G8</f>
        <v>-34479180.689999998</v>
      </c>
      <c r="K8" s="3">
        <f t="shared" ref="K8:K13" si="8">J8</f>
        <v>-34479180.689999998</v>
      </c>
      <c r="L8" s="3">
        <f t="shared" ref="L8:L19" si="9">K8/(1+$B$15)^E8</f>
        <v>-12772175.972605309</v>
      </c>
      <c r="M8" s="3">
        <f t="shared" si="5"/>
        <v>-25718832.781138882</v>
      </c>
      <c r="N8" s="20"/>
      <c r="O8" s="20"/>
      <c r="P8" s="20"/>
      <c r="Q8" s="20"/>
      <c r="R8" s="20"/>
      <c r="S8" s="20"/>
      <c r="T8" s="20"/>
      <c r="U8" s="20"/>
    </row>
    <row r="9" spans="1:21" x14ac:dyDescent="0.25">
      <c r="A9" s="2" t="s">
        <v>17</v>
      </c>
      <c r="B9" s="3">
        <f>B17*B16</f>
        <v>131868000</v>
      </c>
      <c r="C9" s="33"/>
      <c r="D9" s="1">
        <f>D8+1</f>
        <v>2027</v>
      </c>
      <c r="E9" s="3">
        <f t="shared" si="3"/>
        <v>7</v>
      </c>
      <c r="F9" s="3"/>
      <c r="G9" s="3">
        <f t="shared" ref="G9:G28" si="10">($B$2*0.9)/$B$13</f>
        <v>1106772.24</v>
      </c>
      <c r="H9" s="3">
        <f>$B$9*0.9</f>
        <v>118681200</v>
      </c>
      <c r="I9" s="3">
        <f t="shared" si="6"/>
        <v>112275165</v>
      </c>
      <c r="J9" s="3">
        <f t="shared" si="7"/>
        <v>5081219.3099999996</v>
      </c>
      <c r="K9" s="3">
        <f t="shared" si="8"/>
        <v>5081219.3099999996</v>
      </c>
      <c r="L9" s="3">
        <f t="shared" si="9"/>
        <v>1595121.940598371</v>
      </c>
      <c r="M9" s="3">
        <f t="shared" si="5"/>
        <v>-24123710.84054051</v>
      </c>
      <c r="N9" s="20"/>
      <c r="O9" s="20"/>
      <c r="P9" s="20"/>
      <c r="Q9" s="20"/>
      <c r="R9" s="20"/>
      <c r="S9" s="20"/>
      <c r="T9" s="20"/>
      <c r="U9" s="20"/>
    </row>
    <row r="10" spans="1:21" x14ac:dyDescent="0.25">
      <c r="A10" s="2" t="s">
        <v>15</v>
      </c>
      <c r="B10" s="3">
        <v>112275165</v>
      </c>
      <c r="C10" s="33"/>
      <c r="D10" s="1">
        <f t="shared" ref="D10:D28" si="11">D9+1</f>
        <v>2028</v>
      </c>
      <c r="E10" s="3">
        <f t="shared" si="3"/>
        <v>8</v>
      </c>
      <c r="F10" s="3"/>
      <c r="G10" s="3">
        <f t="shared" si="10"/>
        <v>1106772.24</v>
      </c>
      <c r="H10" s="3">
        <f t="shared" ref="H10:H18" si="12">$B$9</f>
        <v>131868000</v>
      </c>
      <c r="I10" s="3">
        <f t="shared" si="6"/>
        <v>112275165</v>
      </c>
      <c r="J10" s="3">
        <f t="shared" si="7"/>
        <v>14971319.310000001</v>
      </c>
      <c r="K10" s="3">
        <f t="shared" si="8"/>
        <v>14971319.310000001</v>
      </c>
      <c r="L10" s="3">
        <f t="shared" si="9"/>
        <v>3982942.297855448</v>
      </c>
      <c r="M10" s="3">
        <f t="shared" si="5"/>
        <v>-20140768.542685062</v>
      </c>
      <c r="N10" s="20"/>
      <c r="O10" s="20"/>
      <c r="P10" s="20"/>
      <c r="Q10" s="20"/>
      <c r="R10" s="20"/>
      <c r="S10" s="20"/>
      <c r="T10" s="20"/>
      <c r="U10" s="20"/>
    </row>
    <row r="11" spans="1:21" x14ac:dyDescent="0.25">
      <c r="A11" s="2" t="s">
        <v>0</v>
      </c>
      <c r="B11" s="4">
        <v>0.25</v>
      </c>
      <c r="C11" s="33"/>
      <c r="D11" s="1">
        <f t="shared" si="11"/>
        <v>2029</v>
      </c>
      <c r="E11" s="3">
        <f t="shared" si="3"/>
        <v>9</v>
      </c>
      <c r="F11" s="3"/>
      <c r="G11" s="3">
        <f t="shared" si="10"/>
        <v>1106772.24</v>
      </c>
      <c r="H11" s="3">
        <f t="shared" si="12"/>
        <v>131868000</v>
      </c>
      <c r="I11" s="3">
        <f t="shared" si="6"/>
        <v>112275165</v>
      </c>
      <c r="J11" s="3">
        <f t="shared" si="7"/>
        <v>14971319.310000001</v>
      </c>
      <c r="K11" s="3">
        <f t="shared" si="8"/>
        <v>14971319.310000001</v>
      </c>
      <c r="L11" s="3">
        <f t="shared" si="9"/>
        <v>3375374.8286910579</v>
      </c>
      <c r="M11" s="3">
        <f t="shared" si="5"/>
        <v>-16765393.713994004</v>
      </c>
      <c r="N11" s="20"/>
      <c r="O11" s="20"/>
      <c r="P11" s="20"/>
      <c r="Q11" s="20"/>
      <c r="R11" s="20"/>
      <c r="S11" s="20"/>
      <c r="T11" s="20"/>
      <c r="U11" s="20"/>
    </row>
    <row r="12" spans="1:21" x14ac:dyDescent="0.25">
      <c r="A12" s="2" t="s">
        <v>16</v>
      </c>
      <c r="B12" s="3">
        <f>0.1*B2</f>
        <v>1844620.4000000001</v>
      </c>
      <c r="C12" s="33"/>
      <c r="D12" s="1">
        <f t="shared" si="11"/>
        <v>2030</v>
      </c>
      <c r="E12" s="3">
        <f t="shared" si="3"/>
        <v>10</v>
      </c>
      <c r="F12" s="3"/>
      <c r="G12" s="3">
        <f t="shared" si="10"/>
        <v>1106772.24</v>
      </c>
      <c r="H12" s="3">
        <f t="shared" si="12"/>
        <v>131868000</v>
      </c>
      <c r="I12" s="3">
        <f t="shared" si="6"/>
        <v>112275165</v>
      </c>
      <c r="J12" s="3">
        <f t="shared" si="7"/>
        <v>14971319.310000001</v>
      </c>
      <c r="K12" s="3">
        <f t="shared" si="8"/>
        <v>14971319.310000001</v>
      </c>
      <c r="L12" s="3">
        <f t="shared" si="9"/>
        <v>2860487.1429585237</v>
      </c>
      <c r="M12" s="3">
        <f t="shared" si="5"/>
        <v>-13904906.57103548</v>
      </c>
      <c r="N12" s="20"/>
      <c r="O12" s="20"/>
      <c r="P12" s="20"/>
      <c r="Q12" s="20"/>
      <c r="R12" s="20"/>
      <c r="S12" s="20"/>
      <c r="T12" s="20"/>
      <c r="U12" s="20"/>
    </row>
    <row r="13" spans="1:21" x14ac:dyDescent="0.25">
      <c r="A13" s="2" t="s">
        <v>2</v>
      </c>
      <c r="B13" s="3">
        <v>15</v>
      </c>
      <c r="C13" s="33"/>
      <c r="D13" s="1">
        <f t="shared" si="11"/>
        <v>2031</v>
      </c>
      <c r="E13" s="3">
        <f>E12+1</f>
        <v>11</v>
      </c>
      <c r="F13" s="3"/>
      <c r="G13" s="3">
        <f t="shared" si="10"/>
        <v>1106772.24</v>
      </c>
      <c r="H13" s="3">
        <f t="shared" si="12"/>
        <v>131868000</v>
      </c>
      <c r="I13" s="3">
        <f t="shared" si="6"/>
        <v>112275165</v>
      </c>
      <c r="J13" s="3">
        <f t="shared" si="7"/>
        <v>14971319.310000001</v>
      </c>
      <c r="K13" s="3">
        <f t="shared" si="8"/>
        <v>14971319.310000001</v>
      </c>
      <c r="L13" s="3">
        <f t="shared" si="9"/>
        <v>2424141.6465750202</v>
      </c>
      <c r="M13" s="3">
        <f t="shared" si="5"/>
        <v>-11480764.92446046</v>
      </c>
      <c r="N13" s="20"/>
      <c r="O13" s="20"/>
      <c r="P13" s="20"/>
      <c r="Q13" s="20"/>
      <c r="R13" s="20"/>
      <c r="S13" s="20"/>
      <c r="T13" s="20"/>
      <c r="U13" s="20"/>
    </row>
    <row r="14" spans="1:21" x14ac:dyDescent="0.25">
      <c r="A14" s="2" t="s">
        <v>1</v>
      </c>
      <c r="B14" s="3">
        <v>25</v>
      </c>
      <c r="C14" s="33"/>
      <c r="D14" s="1">
        <f t="shared" si="11"/>
        <v>2032</v>
      </c>
      <c r="E14" s="3">
        <f>E13+1</f>
        <v>12</v>
      </c>
      <c r="F14" s="3"/>
      <c r="G14" s="3">
        <f t="shared" si="10"/>
        <v>1106772.24</v>
      </c>
      <c r="H14" s="3">
        <f t="shared" si="12"/>
        <v>131868000</v>
      </c>
      <c r="I14" s="3">
        <f t="shared" si="6"/>
        <v>112275165</v>
      </c>
      <c r="J14" s="3">
        <f t="shared" si="7"/>
        <v>14971319.310000001</v>
      </c>
      <c r="K14" s="3">
        <f>J14+F14</f>
        <v>14971319.310000001</v>
      </c>
      <c r="L14" s="3">
        <f t="shared" si="9"/>
        <v>2054357.3276059495</v>
      </c>
      <c r="M14" s="3">
        <f t="shared" si="5"/>
        <v>-9426407.5968545098</v>
      </c>
      <c r="N14" s="21"/>
      <c r="O14" s="20"/>
      <c r="P14" s="20"/>
      <c r="Q14" s="20"/>
      <c r="R14" s="20"/>
      <c r="S14" s="20"/>
      <c r="T14" s="20"/>
      <c r="U14" s="20"/>
    </row>
    <row r="15" spans="1:21" x14ac:dyDescent="0.25">
      <c r="A15" s="2" t="s">
        <v>11</v>
      </c>
      <c r="B15" s="9">
        <v>0.18</v>
      </c>
      <c r="C15" s="33"/>
      <c r="D15" s="1">
        <f t="shared" si="11"/>
        <v>2033</v>
      </c>
      <c r="E15" s="3">
        <f t="shared" ref="E15:E28" si="13">E14+1</f>
        <v>13</v>
      </c>
      <c r="F15" s="3"/>
      <c r="G15" s="3">
        <f t="shared" si="10"/>
        <v>1106772.24</v>
      </c>
      <c r="H15" s="3">
        <f t="shared" si="12"/>
        <v>131868000</v>
      </c>
      <c r="I15" s="3">
        <f t="shared" si="6"/>
        <v>112275165</v>
      </c>
      <c r="J15" s="3">
        <f t="shared" si="7"/>
        <v>14971319.310000001</v>
      </c>
      <c r="K15" s="3">
        <f t="shared" ref="K15:K28" si="14">J15+F15</f>
        <v>14971319.310000001</v>
      </c>
      <c r="L15" s="3">
        <f t="shared" si="9"/>
        <v>1740980.7861067371</v>
      </c>
      <c r="M15" s="3">
        <f t="shared" si="5"/>
        <v>-7685426.8107477725</v>
      </c>
      <c r="N15" s="21"/>
      <c r="O15" s="20"/>
      <c r="P15" s="20"/>
      <c r="Q15" s="20"/>
      <c r="R15" s="20"/>
      <c r="S15" s="20"/>
      <c r="T15" s="20"/>
      <c r="U15" s="20"/>
    </row>
    <row r="16" spans="1:21" x14ac:dyDescent="0.25">
      <c r="A16" s="7" t="s">
        <v>14</v>
      </c>
      <c r="B16" s="3">
        <v>1500</v>
      </c>
      <c r="C16" s="33"/>
      <c r="D16" s="1">
        <f t="shared" si="11"/>
        <v>2034</v>
      </c>
      <c r="E16" s="3">
        <f t="shared" si="13"/>
        <v>14</v>
      </c>
      <c r="F16" s="3"/>
      <c r="G16" s="3">
        <f t="shared" si="10"/>
        <v>1106772.24</v>
      </c>
      <c r="H16" s="3">
        <f t="shared" si="12"/>
        <v>131868000</v>
      </c>
      <c r="I16" s="3">
        <f t="shared" si="6"/>
        <v>112275165</v>
      </c>
      <c r="J16" s="3">
        <f t="shared" si="7"/>
        <v>14971319.310000001</v>
      </c>
      <c r="K16" s="3">
        <f t="shared" si="14"/>
        <v>14971319.310000001</v>
      </c>
      <c r="L16" s="3">
        <f t="shared" si="9"/>
        <v>1475407.445853167</v>
      </c>
      <c r="M16" s="3">
        <f t="shared" si="5"/>
        <v>-6210019.3648946052</v>
      </c>
      <c r="N16" s="21"/>
      <c r="O16" s="20"/>
      <c r="P16" s="20"/>
      <c r="Q16" s="20"/>
      <c r="R16" s="20"/>
      <c r="S16" s="20"/>
      <c r="T16" s="20"/>
      <c r="U16" s="20"/>
    </row>
    <row r="17" spans="1:21" x14ac:dyDescent="0.25">
      <c r="A17" s="7" t="s">
        <v>35</v>
      </c>
      <c r="B17" s="3">
        <f>11.1*330*24</f>
        <v>87912</v>
      </c>
      <c r="C17" s="33"/>
      <c r="D17" s="1">
        <f t="shared" si="11"/>
        <v>2035</v>
      </c>
      <c r="E17" s="3">
        <f t="shared" si="13"/>
        <v>15</v>
      </c>
      <c r="F17" s="3"/>
      <c r="G17" s="3">
        <f t="shared" si="10"/>
        <v>1106772.24</v>
      </c>
      <c r="H17" s="3">
        <f t="shared" si="12"/>
        <v>131868000</v>
      </c>
      <c r="I17" s="3">
        <f t="shared" si="6"/>
        <v>112275165</v>
      </c>
      <c r="J17" s="3">
        <f t="shared" si="7"/>
        <v>14971319.310000001</v>
      </c>
      <c r="K17" s="3">
        <f t="shared" si="14"/>
        <v>14971319.310000001</v>
      </c>
      <c r="L17" s="3">
        <f t="shared" si="9"/>
        <v>1250345.2930959042</v>
      </c>
      <c r="M17" s="3">
        <f t="shared" si="5"/>
        <v>-4959674.0717987008</v>
      </c>
      <c r="N17" s="21"/>
      <c r="O17" s="20"/>
      <c r="P17" s="20"/>
      <c r="Q17" s="20"/>
      <c r="R17" s="20"/>
      <c r="S17" s="20"/>
      <c r="T17" s="20"/>
      <c r="U17" s="20"/>
    </row>
    <row r="18" spans="1:21" x14ac:dyDescent="0.25">
      <c r="C18" s="33"/>
      <c r="D18" s="1">
        <f t="shared" si="11"/>
        <v>2036</v>
      </c>
      <c r="E18" s="3">
        <f t="shared" si="13"/>
        <v>16</v>
      </c>
      <c r="F18" s="3"/>
      <c r="G18" s="3">
        <f t="shared" si="10"/>
        <v>1106772.24</v>
      </c>
      <c r="H18" s="3">
        <f t="shared" si="12"/>
        <v>131868000</v>
      </c>
      <c r="I18" s="3">
        <f t="shared" si="6"/>
        <v>112275165</v>
      </c>
      <c r="J18" s="3">
        <f t="shared" si="7"/>
        <v>14971319.310000001</v>
      </c>
      <c r="K18" s="3">
        <f t="shared" si="14"/>
        <v>14971319.310000001</v>
      </c>
      <c r="L18" s="3">
        <f t="shared" si="9"/>
        <v>1059614.6551660206</v>
      </c>
      <c r="M18" s="3">
        <f t="shared" si="5"/>
        <v>-3900059.4166326802</v>
      </c>
      <c r="N18" s="21"/>
      <c r="O18" s="20"/>
      <c r="P18" s="20"/>
      <c r="Q18" s="20"/>
      <c r="R18" s="20"/>
      <c r="S18" s="20"/>
      <c r="T18" s="20"/>
      <c r="U18" s="20"/>
    </row>
    <row r="19" spans="1:21" x14ac:dyDescent="0.25">
      <c r="C19" s="33"/>
      <c r="D19" s="1">
        <f t="shared" si="11"/>
        <v>2037</v>
      </c>
      <c r="E19" s="3">
        <f t="shared" si="13"/>
        <v>17</v>
      </c>
      <c r="F19" s="3"/>
      <c r="G19" s="3">
        <f t="shared" si="10"/>
        <v>1106772.24</v>
      </c>
      <c r="H19" s="3">
        <f t="shared" ref="H19:H27" si="15">$B$9</f>
        <v>131868000</v>
      </c>
      <c r="I19" s="3">
        <f t="shared" si="6"/>
        <v>112275165</v>
      </c>
      <c r="J19" s="3">
        <f t="shared" si="7"/>
        <v>14971319.310000001</v>
      </c>
      <c r="K19" s="3">
        <f t="shared" si="14"/>
        <v>14971319.310000001</v>
      </c>
      <c r="L19" s="3">
        <f t="shared" si="9"/>
        <v>897978.52132713608</v>
      </c>
      <c r="M19" s="3">
        <f t="shared" si="5"/>
        <v>-3002080.8953055441</v>
      </c>
      <c r="N19" s="21"/>
      <c r="O19" s="20"/>
      <c r="P19" s="20"/>
      <c r="Q19" s="20"/>
      <c r="R19" s="20"/>
      <c r="S19" s="20"/>
      <c r="T19" s="20"/>
      <c r="U19" s="20"/>
    </row>
    <row r="20" spans="1:21" x14ac:dyDescent="0.25">
      <c r="B20" s="8"/>
      <c r="C20" s="33"/>
      <c r="D20" s="1">
        <f t="shared" si="11"/>
        <v>2038</v>
      </c>
      <c r="E20" s="3">
        <f t="shared" si="13"/>
        <v>18</v>
      </c>
      <c r="F20" s="3"/>
      <c r="G20" s="3">
        <f t="shared" si="10"/>
        <v>1106772.24</v>
      </c>
      <c r="H20" s="3">
        <f t="shared" si="15"/>
        <v>131868000</v>
      </c>
      <c r="I20" s="3">
        <f t="shared" ref="I20:I28" si="16">$B$10</f>
        <v>112275165</v>
      </c>
      <c r="J20" s="3">
        <f t="shared" ref="J20:J28" si="17">((H20-I20-G20)*(1-$B$11))+G20</f>
        <v>14971319.310000001</v>
      </c>
      <c r="K20" s="3">
        <f t="shared" si="14"/>
        <v>14971319.310000001</v>
      </c>
      <c r="L20" s="3">
        <f t="shared" ref="L20:L28" si="18">K20/(1+$B$15)^E20</f>
        <v>760998.74688740354</v>
      </c>
      <c r="M20" s="3">
        <f t="shared" si="5"/>
        <v>-2241082.1484181406</v>
      </c>
      <c r="N20" s="20"/>
      <c r="O20" s="20"/>
      <c r="P20" s="20"/>
      <c r="Q20" s="20"/>
      <c r="R20" s="20"/>
      <c r="S20" s="20"/>
      <c r="T20" s="20"/>
      <c r="U20" s="20"/>
    </row>
    <row r="21" spans="1:21" x14ac:dyDescent="0.25">
      <c r="C21" s="33"/>
      <c r="D21" s="1">
        <f t="shared" si="11"/>
        <v>2039</v>
      </c>
      <c r="E21" s="3">
        <f t="shared" si="13"/>
        <v>19</v>
      </c>
      <c r="F21" s="3"/>
      <c r="G21" s="3">
        <f t="shared" si="10"/>
        <v>1106772.24</v>
      </c>
      <c r="H21" s="3">
        <f t="shared" si="15"/>
        <v>131868000</v>
      </c>
      <c r="I21" s="3">
        <f t="shared" si="16"/>
        <v>112275165</v>
      </c>
      <c r="J21" s="3">
        <f t="shared" si="17"/>
        <v>14971319.310000001</v>
      </c>
      <c r="K21" s="3">
        <f t="shared" si="14"/>
        <v>14971319.310000001</v>
      </c>
      <c r="L21" s="3">
        <f t="shared" si="18"/>
        <v>644914.19227746071</v>
      </c>
      <c r="M21" s="3">
        <f t="shared" si="5"/>
        <v>-1596167.9561406798</v>
      </c>
    </row>
    <row r="22" spans="1:21" x14ac:dyDescent="0.25">
      <c r="C22" s="33"/>
      <c r="D22" s="1">
        <f t="shared" si="11"/>
        <v>2040</v>
      </c>
      <c r="E22" s="3">
        <f t="shared" si="13"/>
        <v>20</v>
      </c>
      <c r="F22" s="3"/>
      <c r="G22" s="3">
        <f t="shared" si="10"/>
        <v>1106772.24</v>
      </c>
      <c r="H22" s="3">
        <f t="shared" si="15"/>
        <v>131868000</v>
      </c>
      <c r="I22" s="3">
        <f t="shared" si="16"/>
        <v>112275165</v>
      </c>
      <c r="J22" s="3">
        <f t="shared" si="17"/>
        <v>14971319.310000001</v>
      </c>
      <c r="K22" s="3">
        <f t="shared" si="14"/>
        <v>14971319.310000001</v>
      </c>
      <c r="L22" s="3">
        <f t="shared" si="18"/>
        <v>546537.45108259388</v>
      </c>
      <c r="M22" s="3">
        <f t="shared" si="5"/>
        <v>-1049630.505058086</v>
      </c>
    </row>
    <row r="23" spans="1:21" x14ac:dyDescent="0.25">
      <c r="C23" s="33"/>
      <c r="D23" s="1">
        <f t="shared" si="11"/>
        <v>2041</v>
      </c>
      <c r="E23" s="3">
        <f t="shared" si="13"/>
        <v>21</v>
      </c>
      <c r="F23" s="3"/>
      <c r="G23" s="3">
        <f t="shared" si="10"/>
        <v>1106772.24</v>
      </c>
      <c r="H23" s="3">
        <f t="shared" si="15"/>
        <v>131868000</v>
      </c>
      <c r="I23" s="3">
        <f t="shared" si="16"/>
        <v>112275165</v>
      </c>
      <c r="J23" s="3">
        <f t="shared" si="17"/>
        <v>14971319.310000001</v>
      </c>
      <c r="K23" s="3">
        <f t="shared" si="14"/>
        <v>14971319.310000001</v>
      </c>
      <c r="L23" s="3">
        <f t="shared" si="18"/>
        <v>463167.33142592706</v>
      </c>
      <c r="M23" s="3">
        <f t="shared" si="5"/>
        <v>-586463.1736321589</v>
      </c>
    </row>
    <row r="24" spans="1:21" x14ac:dyDescent="0.25">
      <c r="C24" s="33"/>
      <c r="D24" s="1">
        <f t="shared" si="11"/>
        <v>2042</v>
      </c>
      <c r="E24" s="3">
        <f t="shared" si="13"/>
        <v>22</v>
      </c>
      <c r="F24" s="3"/>
      <c r="G24" s="3">
        <f t="shared" si="10"/>
        <v>1106772.24</v>
      </c>
      <c r="H24" s="3">
        <f t="shared" si="15"/>
        <v>131868000</v>
      </c>
      <c r="I24" s="3">
        <f t="shared" si="16"/>
        <v>112275165</v>
      </c>
      <c r="J24" s="3">
        <f t="shared" si="17"/>
        <v>14971319.310000001</v>
      </c>
      <c r="K24" s="3">
        <f t="shared" si="14"/>
        <v>14971319.310000001</v>
      </c>
      <c r="L24" s="3">
        <f t="shared" si="18"/>
        <v>392514.68764909072</v>
      </c>
      <c r="M24" s="3">
        <f t="shared" si="5"/>
        <v>-193948.48598306818</v>
      </c>
    </row>
    <row r="25" spans="1:21" x14ac:dyDescent="0.25">
      <c r="C25" s="33"/>
      <c r="D25" s="1">
        <f t="shared" si="11"/>
        <v>2043</v>
      </c>
      <c r="E25" s="3">
        <f t="shared" si="13"/>
        <v>23</v>
      </c>
      <c r="F25" s="3"/>
      <c r="G25" s="3">
        <f t="shared" si="10"/>
        <v>1106772.24</v>
      </c>
      <c r="H25" s="3">
        <f t="shared" si="15"/>
        <v>131868000</v>
      </c>
      <c r="I25" s="3">
        <f t="shared" si="16"/>
        <v>112275165</v>
      </c>
      <c r="J25" s="3">
        <f t="shared" si="17"/>
        <v>14971319.310000001</v>
      </c>
      <c r="K25" s="3">
        <f t="shared" si="14"/>
        <v>14971319.310000001</v>
      </c>
      <c r="L25" s="3">
        <f t="shared" si="18"/>
        <v>332639.56580431416</v>
      </c>
      <c r="M25" s="3">
        <f t="shared" si="5"/>
        <v>138691.07982124598</v>
      </c>
    </row>
    <row r="26" spans="1:21" x14ac:dyDescent="0.25">
      <c r="C26" s="33"/>
      <c r="D26" s="1">
        <f t="shared" si="11"/>
        <v>2044</v>
      </c>
      <c r="E26" s="3">
        <f t="shared" si="13"/>
        <v>24</v>
      </c>
      <c r="F26" s="3"/>
      <c r="G26" s="3">
        <f t="shared" si="10"/>
        <v>1106772.24</v>
      </c>
      <c r="H26" s="3">
        <f t="shared" si="15"/>
        <v>131868000</v>
      </c>
      <c r="I26" s="3">
        <f t="shared" si="16"/>
        <v>112275165</v>
      </c>
      <c r="J26" s="3">
        <f t="shared" si="17"/>
        <v>14971319.310000001</v>
      </c>
      <c r="K26" s="3">
        <f t="shared" si="14"/>
        <v>14971319.310000001</v>
      </c>
      <c r="L26" s="3">
        <f t="shared" si="18"/>
        <v>281897.93712230015</v>
      </c>
      <c r="M26" s="3">
        <f t="shared" si="5"/>
        <v>420589.01694354613</v>
      </c>
    </row>
    <row r="27" spans="1:21" x14ac:dyDescent="0.25">
      <c r="C27" s="33"/>
      <c r="D27" s="1">
        <f t="shared" si="11"/>
        <v>2045</v>
      </c>
      <c r="E27" s="3">
        <f t="shared" si="13"/>
        <v>25</v>
      </c>
      <c r="F27" s="3"/>
      <c r="G27" s="3">
        <f t="shared" si="10"/>
        <v>1106772.24</v>
      </c>
      <c r="H27" s="3">
        <f t="shared" si="15"/>
        <v>131868000</v>
      </c>
      <c r="I27" s="3">
        <f t="shared" si="16"/>
        <v>112275165</v>
      </c>
      <c r="J27" s="3">
        <f t="shared" si="17"/>
        <v>14971319.310000001</v>
      </c>
      <c r="K27" s="3">
        <f t="shared" si="14"/>
        <v>14971319.310000001</v>
      </c>
      <c r="L27" s="3">
        <f t="shared" si="18"/>
        <v>238896.55688330522</v>
      </c>
      <c r="M27" s="3">
        <f t="shared" si="5"/>
        <v>659485.57382685132</v>
      </c>
      <c r="N27" s="31" t="s">
        <v>36</v>
      </c>
      <c r="O27" s="31">
        <f>M28</f>
        <v>924262.67450760747</v>
      </c>
    </row>
    <row r="28" spans="1:21" x14ac:dyDescent="0.25">
      <c r="C28" s="33"/>
      <c r="D28" s="1">
        <f t="shared" si="11"/>
        <v>2046</v>
      </c>
      <c r="E28" s="3">
        <f t="shared" si="13"/>
        <v>26</v>
      </c>
      <c r="F28" s="3">
        <f>B8</f>
        <v>3225212</v>
      </c>
      <c r="G28" s="3">
        <f t="shared" si="10"/>
        <v>1106772.24</v>
      </c>
      <c r="H28" s="3">
        <f>$B$9+B12</f>
        <v>133712620.40000001</v>
      </c>
      <c r="I28" s="3">
        <f t="shared" si="16"/>
        <v>112275165</v>
      </c>
      <c r="J28" s="3">
        <f t="shared" si="17"/>
        <v>16354784.610000005</v>
      </c>
      <c r="K28" s="3">
        <f t="shared" si="14"/>
        <v>19579996.610000007</v>
      </c>
      <c r="L28" s="3">
        <f t="shared" si="18"/>
        <v>264777.10068075615</v>
      </c>
      <c r="M28" s="6">
        <f t="shared" si="5"/>
        <v>924262.67450760747</v>
      </c>
      <c r="N28" s="31" t="s">
        <v>37</v>
      </c>
      <c r="O28" s="31">
        <v>18.600000000000001</v>
      </c>
    </row>
    <row r="29" spans="1:21" x14ac:dyDescent="0.25">
      <c r="A29" s="18"/>
      <c r="B29" s="19"/>
    </row>
    <row r="30" spans="1:21" x14ac:dyDescent="0.25">
      <c r="A30" s="18"/>
      <c r="B30" s="19"/>
    </row>
    <row r="31" spans="1:21" x14ac:dyDescent="0.25">
      <c r="A31" s="18"/>
      <c r="B31" s="19"/>
    </row>
    <row r="32" spans="1:21" x14ac:dyDescent="0.25">
      <c r="A32" s="18"/>
      <c r="B32" s="18"/>
    </row>
    <row r="33" spans="1:15" x14ac:dyDescent="0.25">
      <c r="A33" s="18"/>
      <c r="B33" s="19"/>
      <c r="C33" s="33" t="s">
        <v>39</v>
      </c>
      <c r="E33" s="5" t="s">
        <v>10</v>
      </c>
      <c r="F33" s="5" t="s">
        <v>25</v>
      </c>
      <c r="G33" s="5" t="s">
        <v>26</v>
      </c>
      <c r="H33" s="5" t="s">
        <v>27</v>
      </c>
      <c r="I33" s="5" t="s">
        <v>32</v>
      </c>
      <c r="J33" s="5" t="s">
        <v>33</v>
      </c>
      <c r="K33" s="5" t="s">
        <v>34</v>
      </c>
      <c r="L33" s="5" t="s">
        <v>31</v>
      </c>
      <c r="M33" s="5" t="s">
        <v>30</v>
      </c>
      <c r="N33" s="5" t="s">
        <v>28</v>
      </c>
      <c r="O33" s="5" t="s">
        <v>29</v>
      </c>
    </row>
    <row r="34" spans="1:15" x14ac:dyDescent="0.25">
      <c r="A34" s="18"/>
      <c r="B34" s="19"/>
      <c r="C34" s="33"/>
      <c r="E34" s="3">
        <v>0</v>
      </c>
      <c r="F34" s="3">
        <f>B1</f>
        <v>0</v>
      </c>
      <c r="G34" s="3"/>
      <c r="H34" s="3"/>
      <c r="I34" s="3"/>
      <c r="J34" s="3"/>
      <c r="K34" s="3"/>
      <c r="L34" s="3"/>
      <c r="M34" s="3">
        <f>F34</f>
        <v>0</v>
      </c>
      <c r="N34" s="3">
        <f t="shared" ref="N34:N60" si="19">M34/(1+$B$15)^E34</f>
        <v>0</v>
      </c>
      <c r="O34" s="3">
        <f>N34</f>
        <v>0</v>
      </c>
    </row>
    <row r="35" spans="1:15" x14ac:dyDescent="0.25">
      <c r="A35" s="18"/>
      <c r="B35" s="19"/>
      <c r="C35" s="33"/>
      <c r="E35" s="3">
        <f>E34+1</f>
        <v>1</v>
      </c>
      <c r="F35" s="17">
        <f>(-(B3*(2/3)))+I69</f>
        <v>4764311.4666666668</v>
      </c>
      <c r="G35" s="3"/>
      <c r="H35" s="3"/>
      <c r="I35" s="3"/>
      <c r="J35" s="3"/>
      <c r="K35" s="3"/>
      <c r="L35" s="3"/>
      <c r="M35" s="3">
        <f>F35</f>
        <v>4764311.4666666668</v>
      </c>
      <c r="N35" s="3">
        <f t="shared" si="19"/>
        <v>4037552.0903954804</v>
      </c>
      <c r="O35" s="3">
        <f>O34+N35</f>
        <v>4037552.0903954804</v>
      </c>
    </row>
    <row r="36" spans="1:15" x14ac:dyDescent="0.25">
      <c r="C36" s="33"/>
      <c r="E36" s="3">
        <f t="shared" ref="E36:E44" si="20">E35+1</f>
        <v>2</v>
      </c>
      <c r="F36" s="17">
        <f>(-(B4*(2/3)))</f>
        <v>-2459493.8666666667</v>
      </c>
      <c r="G36" s="3"/>
      <c r="H36" s="3"/>
      <c r="I36" s="3"/>
      <c r="J36" s="3"/>
      <c r="K36" s="3"/>
      <c r="L36" s="3"/>
      <c r="M36" s="3">
        <f>F36</f>
        <v>-2459493.8666666667</v>
      </c>
      <c r="N36" s="3">
        <f t="shared" si="19"/>
        <v>-1766370.2001340613</v>
      </c>
      <c r="O36" s="3">
        <f t="shared" ref="O36:O60" si="21">O35+N36</f>
        <v>2271181.8902614191</v>
      </c>
    </row>
    <row r="37" spans="1:15" x14ac:dyDescent="0.25">
      <c r="C37" s="33"/>
      <c r="E37" s="3">
        <f t="shared" si="20"/>
        <v>3</v>
      </c>
      <c r="F37" s="17">
        <f>(-(B5*(2/3)))</f>
        <v>-2459493.8666666667</v>
      </c>
      <c r="G37" s="3"/>
      <c r="H37" s="3"/>
      <c r="I37" s="3"/>
      <c r="J37" s="17"/>
      <c r="K37" s="17"/>
      <c r="L37" s="17"/>
      <c r="M37" s="3">
        <f t="shared" ref="M37:M39" si="22">F37</f>
        <v>-2459493.8666666667</v>
      </c>
      <c r="N37" s="3">
        <f t="shared" si="19"/>
        <v>-1496923.8984186961</v>
      </c>
      <c r="O37" s="3">
        <f t="shared" si="21"/>
        <v>774257.99184272299</v>
      </c>
    </row>
    <row r="38" spans="1:15" x14ac:dyDescent="0.25">
      <c r="C38" s="33"/>
      <c r="E38" s="3">
        <f t="shared" si="20"/>
        <v>4</v>
      </c>
      <c r="F38" s="17">
        <f>(-(B6*(2/3)))</f>
        <v>-2459493.8666666667</v>
      </c>
      <c r="G38" s="3"/>
      <c r="H38" s="3"/>
      <c r="I38" s="3"/>
      <c r="J38" s="17"/>
      <c r="K38" s="17"/>
      <c r="L38" s="17"/>
      <c r="M38" s="3">
        <f t="shared" si="22"/>
        <v>-2459493.8666666667</v>
      </c>
      <c r="N38" s="3">
        <f t="shared" si="19"/>
        <v>-1268579.5749310984</v>
      </c>
      <c r="O38" s="3">
        <f t="shared" si="21"/>
        <v>-494321.5830883754</v>
      </c>
    </row>
    <row r="39" spans="1:15" x14ac:dyDescent="0.25">
      <c r="C39" s="33"/>
      <c r="E39" s="3">
        <f t="shared" si="20"/>
        <v>5</v>
      </c>
      <c r="F39" s="17">
        <f>(-((B7+B8)*(2/3)))</f>
        <v>-4609635.2</v>
      </c>
      <c r="G39" s="3"/>
      <c r="H39" s="3"/>
      <c r="I39" s="3"/>
      <c r="J39" s="17"/>
      <c r="K39" s="17"/>
      <c r="L39" s="17"/>
      <c r="M39" s="3">
        <f t="shared" si="22"/>
        <v>-4609635.2</v>
      </c>
      <c r="N39" s="3">
        <f t="shared" si="19"/>
        <v>-2014914.0293803338</v>
      </c>
      <c r="O39" s="3">
        <f t="shared" si="21"/>
        <v>-2509235.6124687092</v>
      </c>
    </row>
    <row r="40" spans="1:15" x14ac:dyDescent="0.25">
      <c r="C40" s="33"/>
      <c r="D40" s="1">
        <f>2026</f>
        <v>2026</v>
      </c>
      <c r="E40" s="3">
        <f t="shared" si="20"/>
        <v>6</v>
      </c>
      <c r="F40" s="3"/>
      <c r="G40" s="3">
        <f>($B$2*0.9)/$B$13</f>
        <v>1106772.24</v>
      </c>
      <c r="H40" s="3">
        <f>$B$9*0.5</f>
        <v>65934000</v>
      </c>
      <c r="I40" s="3">
        <f>$B$10</f>
        <v>112275165</v>
      </c>
      <c r="J40" s="17"/>
      <c r="K40" s="17"/>
      <c r="L40" s="17">
        <f t="shared" ref="L40:L41" si="23">((H40-I40-G40-K40)*(1-$B$11))+G40-J40</f>
        <v>-34479180.689999998</v>
      </c>
      <c r="M40" s="17">
        <f>L40</f>
        <v>-34479180.689999998</v>
      </c>
      <c r="N40" s="3">
        <f t="shared" si="19"/>
        <v>-12772175.972605309</v>
      </c>
      <c r="O40" s="3">
        <f t="shared" si="21"/>
        <v>-15281411.585074019</v>
      </c>
    </row>
    <row r="41" spans="1:15" x14ac:dyDescent="0.25">
      <c r="C41" s="33"/>
      <c r="D41" s="1">
        <f>D40+1</f>
        <v>2027</v>
      </c>
      <c r="E41" s="3">
        <f t="shared" si="20"/>
        <v>7</v>
      </c>
      <c r="F41" s="3"/>
      <c r="G41" s="3">
        <f t="shared" ref="G41:G60" si="24">($B$2*0.9)/$B$13</f>
        <v>1106772.24</v>
      </c>
      <c r="H41" s="3">
        <f>$B$9*0.9</f>
        <v>118681200</v>
      </c>
      <c r="I41" s="3">
        <f t="shared" ref="I41:I60" si="25">$B$10</f>
        <v>112275165</v>
      </c>
      <c r="J41" s="17"/>
      <c r="K41" s="17"/>
      <c r="L41" s="17">
        <f t="shared" si="23"/>
        <v>5081219.3099999996</v>
      </c>
      <c r="M41" s="17">
        <f t="shared" ref="M41:M60" si="26">L41</f>
        <v>5081219.3099999996</v>
      </c>
      <c r="N41" s="3">
        <f t="shared" si="19"/>
        <v>1595121.940598371</v>
      </c>
      <c r="O41" s="3">
        <f t="shared" si="21"/>
        <v>-13686289.644475648</v>
      </c>
    </row>
    <row r="42" spans="1:15" x14ac:dyDescent="0.25">
      <c r="C42" s="33"/>
      <c r="D42" s="1">
        <f t="shared" ref="D42:D60" si="27">D41+1</f>
        <v>2028</v>
      </c>
      <c r="E42" s="3">
        <f>E41+1</f>
        <v>8</v>
      </c>
      <c r="F42" s="3"/>
      <c r="G42" s="3">
        <f t="shared" si="24"/>
        <v>1106772.24</v>
      </c>
      <c r="H42" s="3">
        <f t="shared" ref="H42:H59" si="28">$B$9</f>
        <v>131868000</v>
      </c>
      <c r="I42" s="3">
        <f t="shared" si="25"/>
        <v>112275165</v>
      </c>
      <c r="J42" s="17">
        <f t="shared" ref="J42:K48" si="29">F77</f>
        <v>6037275.8136225985</v>
      </c>
      <c r="K42" s="17">
        <f t="shared" si="29"/>
        <v>4142023.8033815194</v>
      </c>
      <c r="L42" s="17">
        <f>((H42-I42-G42-K42)*(1-$B$11))+G42-J42</f>
        <v>5827525.6438412638</v>
      </c>
      <c r="M42" s="17">
        <f t="shared" si="26"/>
        <v>5827525.6438412638</v>
      </c>
      <c r="N42" s="3">
        <f t="shared" si="19"/>
        <v>1550344.2213799574</v>
      </c>
      <c r="O42" s="3">
        <f t="shared" si="21"/>
        <v>-12135945.42309569</v>
      </c>
    </row>
    <row r="43" spans="1:15" x14ac:dyDescent="0.25">
      <c r="C43" s="33"/>
      <c r="D43" s="1">
        <f t="shared" si="27"/>
        <v>2029</v>
      </c>
      <c r="E43" s="3">
        <f t="shared" si="20"/>
        <v>9</v>
      </c>
      <c r="F43" s="3"/>
      <c r="G43" s="3">
        <f t="shared" si="24"/>
        <v>1106772.24</v>
      </c>
      <c r="H43" s="3">
        <f t="shared" si="28"/>
        <v>131868000</v>
      </c>
      <c r="I43" s="3">
        <f t="shared" si="25"/>
        <v>112275165</v>
      </c>
      <c r="J43" s="17">
        <f t="shared" si="29"/>
        <v>6037275.8136225985</v>
      </c>
      <c r="K43" s="17">
        <f t="shared" si="29"/>
        <v>3800878.4415381253</v>
      </c>
      <c r="L43" s="17">
        <f t="shared" ref="L43:L60" si="30">((H43-I43-G43-K43)*(1-$B$11))+G43-J43</f>
        <v>6083384.665223808</v>
      </c>
      <c r="M43" s="17">
        <f t="shared" si="26"/>
        <v>6083384.665223808</v>
      </c>
      <c r="N43" s="3">
        <f t="shared" si="19"/>
        <v>1371536.004747842</v>
      </c>
      <c r="O43" s="3">
        <f t="shared" si="21"/>
        <v>-10764409.418347849</v>
      </c>
    </row>
    <row r="44" spans="1:15" x14ac:dyDescent="0.25">
      <c r="C44" s="33"/>
      <c r="D44" s="1">
        <f t="shared" si="27"/>
        <v>2030</v>
      </c>
      <c r="E44" s="3">
        <f t="shared" si="20"/>
        <v>10</v>
      </c>
      <c r="F44" s="3"/>
      <c r="G44" s="3">
        <f t="shared" si="24"/>
        <v>1106772.24</v>
      </c>
      <c r="H44" s="3">
        <f t="shared" si="28"/>
        <v>131868000</v>
      </c>
      <c r="I44" s="3">
        <f t="shared" si="25"/>
        <v>112275165</v>
      </c>
      <c r="J44" s="17">
        <f t="shared" si="29"/>
        <v>6037275.8136225985</v>
      </c>
      <c r="K44" s="17">
        <f t="shared" si="29"/>
        <v>3398326.9145629201</v>
      </c>
      <c r="L44" s="17">
        <f t="shared" si="30"/>
        <v>6385298.3104552133</v>
      </c>
      <c r="M44" s="17">
        <f t="shared" si="26"/>
        <v>6385298.3104552133</v>
      </c>
      <c r="N44" s="3">
        <f t="shared" si="19"/>
        <v>1220003.6177714735</v>
      </c>
      <c r="O44" s="3">
        <f t="shared" si="21"/>
        <v>-9544405.8005763758</v>
      </c>
    </row>
    <row r="45" spans="1:15" x14ac:dyDescent="0.25">
      <c r="C45" s="33"/>
      <c r="D45" s="1">
        <f t="shared" si="27"/>
        <v>2031</v>
      </c>
      <c r="E45" s="3">
        <f>E44+1</f>
        <v>11</v>
      </c>
      <c r="F45" s="3"/>
      <c r="G45" s="3">
        <f t="shared" si="24"/>
        <v>1106772.24</v>
      </c>
      <c r="H45" s="3">
        <f t="shared" si="28"/>
        <v>131868000</v>
      </c>
      <c r="I45" s="3">
        <f t="shared" si="25"/>
        <v>112275165</v>
      </c>
      <c r="J45" s="17">
        <f t="shared" si="29"/>
        <v>6037275.8136225985</v>
      </c>
      <c r="K45" s="17">
        <f t="shared" si="29"/>
        <v>2923316.1127321781</v>
      </c>
      <c r="L45" s="17">
        <f t="shared" si="30"/>
        <v>6741556.4118282693</v>
      </c>
      <c r="M45" s="17">
        <f t="shared" si="26"/>
        <v>6741556.4118282693</v>
      </c>
      <c r="N45" s="3">
        <f t="shared" si="19"/>
        <v>1091586.3406728557</v>
      </c>
      <c r="O45" s="3">
        <f t="shared" si="21"/>
        <v>-8452819.4599035196</v>
      </c>
    </row>
    <row r="46" spans="1:15" x14ac:dyDescent="0.25">
      <c r="C46" s="33"/>
      <c r="D46" s="1">
        <f t="shared" si="27"/>
        <v>2032</v>
      </c>
      <c r="E46" s="3">
        <f>E45+1</f>
        <v>12</v>
      </c>
      <c r="F46" s="3"/>
      <c r="G46" s="3">
        <f t="shared" si="24"/>
        <v>1106772.24</v>
      </c>
      <c r="H46" s="3">
        <f t="shared" si="28"/>
        <v>131868000</v>
      </c>
      <c r="I46" s="3">
        <f t="shared" si="25"/>
        <v>112275165</v>
      </c>
      <c r="J46" s="17">
        <f t="shared" si="29"/>
        <v>6037275.8136225985</v>
      </c>
      <c r="K46" s="17">
        <f t="shared" si="29"/>
        <v>2362803.3665719023</v>
      </c>
      <c r="L46" s="17">
        <f t="shared" si="30"/>
        <v>7161940.9714484746</v>
      </c>
      <c r="M46" s="17">
        <f t="shared" si="26"/>
        <v>7161940.9714484746</v>
      </c>
      <c r="N46" s="3">
        <f t="shared" si="19"/>
        <v>982758.13974182389</v>
      </c>
      <c r="O46" s="3">
        <f t="shared" si="21"/>
        <v>-7470061.3201616956</v>
      </c>
    </row>
    <row r="47" spans="1:15" x14ac:dyDescent="0.25">
      <c r="C47" s="33"/>
      <c r="D47" s="1">
        <f t="shared" si="27"/>
        <v>2033</v>
      </c>
      <c r="E47" s="3">
        <f t="shared" ref="E47:E60" si="31">E46+1</f>
        <v>13</v>
      </c>
      <c r="F47" s="3"/>
      <c r="G47" s="3">
        <f t="shared" si="24"/>
        <v>1106772.24</v>
      </c>
      <c r="H47" s="3">
        <f t="shared" si="28"/>
        <v>131868000</v>
      </c>
      <c r="I47" s="3">
        <f t="shared" si="25"/>
        <v>112275165</v>
      </c>
      <c r="J47" s="17">
        <f t="shared" si="29"/>
        <v>6037275.8136225985</v>
      </c>
      <c r="K47" s="17">
        <f t="shared" si="29"/>
        <v>1701398.3261027769</v>
      </c>
      <c r="L47" s="17">
        <f t="shared" si="30"/>
        <v>7657994.7518003182</v>
      </c>
      <c r="M47" s="17">
        <f t="shared" si="26"/>
        <v>7657994.7518003182</v>
      </c>
      <c r="N47" s="3">
        <f t="shared" si="19"/>
        <v>890530.85081722063</v>
      </c>
      <c r="O47" s="3">
        <f t="shared" si="21"/>
        <v>-6579530.4693444753</v>
      </c>
    </row>
    <row r="48" spans="1:15" x14ac:dyDescent="0.25">
      <c r="C48" s="33"/>
      <c r="D48" s="1">
        <f t="shared" si="27"/>
        <v>2034</v>
      </c>
      <c r="E48" s="3">
        <f t="shared" si="31"/>
        <v>14</v>
      </c>
      <c r="F48" s="3"/>
      <c r="G48" s="3">
        <f t="shared" si="24"/>
        <v>1106772.24</v>
      </c>
      <c r="H48" s="3">
        <f t="shared" si="28"/>
        <v>131868000</v>
      </c>
      <c r="I48" s="3">
        <f t="shared" si="25"/>
        <v>112275165</v>
      </c>
      <c r="J48" s="17">
        <f t="shared" si="29"/>
        <v>6037275.8136225985</v>
      </c>
      <c r="K48" s="17">
        <f t="shared" si="29"/>
        <v>920940.3783492092</v>
      </c>
      <c r="L48" s="17">
        <f t="shared" si="30"/>
        <v>8243338.2126154946</v>
      </c>
      <c r="M48" s="17">
        <f t="shared" si="26"/>
        <v>8243338.2126154946</v>
      </c>
      <c r="N48" s="3">
        <f t="shared" si="19"/>
        <v>812372.13138959068</v>
      </c>
      <c r="O48" s="3">
        <f t="shared" si="21"/>
        <v>-5767158.3379548844</v>
      </c>
    </row>
    <row r="49" spans="3:17" x14ac:dyDescent="0.25">
      <c r="C49" s="33"/>
      <c r="D49" s="1">
        <f t="shared" si="27"/>
        <v>2035</v>
      </c>
      <c r="E49" s="3">
        <f t="shared" si="31"/>
        <v>15</v>
      </c>
      <c r="F49" s="3"/>
      <c r="G49" s="3">
        <f t="shared" si="24"/>
        <v>1106772.24</v>
      </c>
      <c r="H49" s="3">
        <f t="shared" si="28"/>
        <v>131868000</v>
      </c>
      <c r="I49" s="3">
        <f t="shared" si="25"/>
        <v>112275165</v>
      </c>
      <c r="J49" s="17"/>
      <c r="K49" s="17"/>
      <c r="L49" s="17">
        <f t="shared" si="30"/>
        <v>14971319.310000001</v>
      </c>
      <c r="M49" s="17">
        <f t="shared" si="26"/>
        <v>14971319.310000001</v>
      </c>
      <c r="N49" s="3">
        <f t="shared" si="19"/>
        <v>1250345.2930959042</v>
      </c>
      <c r="O49" s="3">
        <f t="shared" si="21"/>
        <v>-4516813.04485898</v>
      </c>
    </row>
    <row r="50" spans="3:17" x14ac:dyDescent="0.25">
      <c r="C50" s="33"/>
      <c r="D50" s="1">
        <f t="shared" si="27"/>
        <v>2036</v>
      </c>
      <c r="E50" s="3">
        <f t="shared" si="31"/>
        <v>16</v>
      </c>
      <c r="F50" s="3"/>
      <c r="G50" s="3">
        <f t="shared" si="24"/>
        <v>1106772.24</v>
      </c>
      <c r="H50" s="3">
        <f t="shared" si="28"/>
        <v>131868000</v>
      </c>
      <c r="I50" s="3">
        <f t="shared" si="25"/>
        <v>112275165</v>
      </c>
      <c r="J50" s="17"/>
      <c r="K50" s="3"/>
      <c r="L50" s="17">
        <f t="shared" si="30"/>
        <v>14971319.310000001</v>
      </c>
      <c r="M50" s="17">
        <f t="shared" si="26"/>
        <v>14971319.310000001</v>
      </c>
      <c r="N50" s="3">
        <f t="shared" si="19"/>
        <v>1059614.6551660206</v>
      </c>
      <c r="O50" s="3">
        <f t="shared" si="21"/>
        <v>-3457198.3896929594</v>
      </c>
    </row>
    <row r="51" spans="3:17" x14ac:dyDescent="0.25">
      <c r="C51" s="33"/>
      <c r="D51" s="1">
        <f t="shared" si="27"/>
        <v>2037</v>
      </c>
      <c r="E51" s="3">
        <f t="shared" si="31"/>
        <v>17</v>
      </c>
      <c r="F51" s="3"/>
      <c r="G51" s="3">
        <f t="shared" si="24"/>
        <v>1106772.24</v>
      </c>
      <c r="H51" s="3">
        <f t="shared" si="28"/>
        <v>131868000</v>
      </c>
      <c r="I51" s="3">
        <f t="shared" si="25"/>
        <v>112275165</v>
      </c>
      <c r="J51" s="17"/>
      <c r="K51" s="3"/>
      <c r="L51" s="17">
        <f t="shared" si="30"/>
        <v>14971319.310000001</v>
      </c>
      <c r="M51" s="17">
        <f t="shared" si="26"/>
        <v>14971319.310000001</v>
      </c>
      <c r="N51" s="3">
        <f t="shared" si="19"/>
        <v>897978.52132713608</v>
      </c>
      <c r="O51" s="3">
        <f t="shared" si="21"/>
        <v>-2559219.8683658233</v>
      </c>
    </row>
    <row r="52" spans="3:17" x14ac:dyDescent="0.25">
      <c r="C52" s="33"/>
      <c r="D52" s="1">
        <f t="shared" si="27"/>
        <v>2038</v>
      </c>
      <c r="E52" s="3">
        <f t="shared" si="31"/>
        <v>18</v>
      </c>
      <c r="F52" s="3"/>
      <c r="G52" s="3">
        <f t="shared" si="24"/>
        <v>1106772.24</v>
      </c>
      <c r="H52" s="3">
        <f t="shared" si="28"/>
        <v>131868000</v>
      </c>
      <c r="I52" s="3">
        <f t="shared" si="25"/>
        <v>112275165</v>
      </c>
      <c r="J52" s="3"/>
      <c r="K52" s="3"/>
      <c r="L52" s="17">
        <f t="shared" si="30"/>
        <v>14971319.310000001</v>
      </c>
      <c r="M52" s="17">
        <f t="shared" si="26"/>
        <v>14971319.310000001</v>
      </c>
      <c r="N52" s="3">
        <f t="shared" si="19"/>
        <v>760998.74688740354</v>
      </c>
      <c r="O52" s="3">
        <f t="shared" si="21"/>
        <v>-1798221.1214784198</v>
      </c>
    </row>
    <row r="53" spans="3:17" x14ac:dyDescent="0.25">
      <c r="C53" s="33"/>
      <c r="D53" s="1">
        <f t="shared" si="27"/>
        <v>2039</v>
      </c>
      <c r="E53" s="3">
        <f t="shared" si="31"/>
        <v>19</v>
      </c>
      <c r="F53" s="3"/>
      <c r="G53" s="3">
        <f t="shared" si="24"/>
        <v>1106772.24</v>
      </c>
      <c r="H53" s="3">
        <f t="shared" si="28"/>
        <v>131868000</v>
      </c>
      <c r="I53" s="3">
        <f t="shared" si="25"/>
        <v>112275165</v>
      </c>
      <c r="J53" s="3"/>
      <c r="K53" s="3"/>
      <c r="L53" s="17">
        <f t="shared" si="30"/>
        <v>14971319.310000001</v>
      </c>
      <c r="M53" s="17">
        <f t="shared" si="26"/>
        <v>14971319.310000001</v>
      </c>
      <c r="N53" s="3">
        <f t="shared" si="19"/>
        <v>644914.19227746071</v>
      </c>
      <c r="O53" s="3">
        <f t="shared" si="21"/>
        <v>-1153306.9292009589</v>
      </c>
    </row>
    <row r="54" spans="3:17" x14ac:dyDescent="0.25">
      <c r="C54" s="33"/>
      <c r="D54" s="1">
        <f t="shared" si="27"/>
        <v>2040</v>
      </c>
      <c r="E54" s="3">
        <f t="shared" si="31"/>
        <v>20</v>
      </c>
      <c r="F54" s="3"/>
      <c r="G54" s="3">
        <f t="shared" si="24"/>
        <v>1106772.24</v>
      </c>
      <c r="H54" s="3">
        <f t="shared" si="28"/>
        <v>131868000</v>
      </c>
      <c r="I54" s="3">
        <f t="shared" si="25"/>
        <v>112275165</v>
      </c>
      <c r="J54" s="3"/>
      <c r="K54" s="3"/>
      <c r="L54" s="17">
        <f t="shared" si="30"/>
        <v>14971319.310000001</v>
      </c>
      <c r="M54" s="17">
        <f t="shared" si="26"/>
        <v>14971319.310000001</v>
      </c>
      <c r="N54" s="3">
        <f t="shared" si="19"/>
        <v>546537.45108259388</v>
      </c>
      <c r="O54" s="3">
        <f t="shared" si="21"/>
        <v>-606769.47811836505</v>
      </c>
    </row>
    <row r="55" spans="3:17" x14ac:dyDescent="0.25">
      <c r="C55" s="33"/>
      <c r="D55" s="1">
        <f t="shared" si="27"/>
        <v>2041</v>
      </c>
      <c r="E55" s="3">
        <f t="shared" si="31"/>
        <v>21</v>
      </c>
      <c r="F55" s="3"/>
      <c r="G55" s="3">
        <f t="shared" si="24"/>
        <v>1106772.24</v>
      </c>
      <c r="H55" s="3">
        <f t="shared" si="28"/>
        <v>131868000</v>
      </c>
      <c r="I55" s="3">
        <f t="shared" si="25"/>
        <v>112275165</v>
      </c>
      <c r="J55" s="3"/>
      <c r="K55" s="3"/>
      <c r="L55" s="17">
        <f t="shared" si="30"/>
        <v>14971319.310000001</v>
      </c>
      <c r="M55" s="17">
        <f t="shared" si="26"/>
        <v>14971319.310000001</v>
      </c>
      <c r="N55" s="3">
        <f t="shared" si="19"/>
        <v>463167.33142592706</v>
      </c>
      <c r="O55" s="3">
        <f t="shared" si="21"/>
        <v>-143602.14669243799</v>
      </c>
    </row>
    <row r="56" spans="3:17" x14ac:dyDescent="0.25">
      <c r="C56" s="33"/>
      <c r="D56" s="1">
        <f t="shared" si="27"/>
        <v>2042</v>
      </c>
      <c r="E56" s="3">
        <f t="shared" si="31"/>
        <v>22</v>
      </c>
      <c r="F56" s="3"/>
      <c r="G56" s="3">
        <f t="shared" si="24"/>
        <v>1106772.24</v>
      </c>
      <c r="H56" s="3">
        <f t="shared" si="28"/>
        <v>131868000</v>
      </c>
      <c r="I56" s="3">
        <f t="shared" si="25"/>
        <v>112275165</v>
      </c>
      <c r="J56" s="3"/>
      <c r="K56" s="3"/>
      <c r="L56" s="17">
        <f t="shared" si="30"/>
        <v>14971319.310000001</v>
      </c>
      <c r="M56" s="17">
        <f t="shared" si="26"/>
        <v>14971319.310000001</v>
      </c>
      <c r="N56" s="3">
        <f t="shared" si="19"/>
        <v>392514.68764909072</v>
      </c>
      <c r="O56" s="3">
        <f t="shared" si="21"/>
        <v>248912.54095665272</v>
      </c>
    </row>
    <row r="57" spans="3:17" x14ac:dyDescent="0.25">
      <c r="C57" s="33"/>
      <c r="D57" s="1">
        <f t="shared" si="27"/>
        <v>2043</v>
      </c>
      <c r="E57" s="3">
        <f t="shared" si="31"/>
        <v>23</v>
      </c>
      <c r="F57" s="3"/>
      <c r="G57" s="3">
        <f t="shared" si="24"/>
        <v>1106772.24</v>
      </c>
      <c r="H57" s="3">
        <f t="shared" si="28"/>
        <v>131868000</v>
      </c>
      <c r="I57" s="3">
        <f t="shared" si="25"/>
        <v>112275165</v>
      </c>
      <c r="J57" s="3"/>
      <c r="K57" s="3"/>
      <c r="L57" s="17">
        <f t="shared" si="30"/>
        <v>14971319.310000001</v>
      </c>
      <c r="M57" s="17">
        <f t="shared" si="26"/>
        <v>14971319.310000001</v>
      </c>
      <c r="N57" s="3">
        <f t="shared" si="19"/>
        <v>332639.56580431416</v>
      </c>
      <c r="O57" s="3">
        <f t="shared" si="21"/>
        <v>581552.10676096682</v>
      </c>
    </row>
    <row r="58" spans="3:17" x14ac:dyDescent="0.25">
      <c r="C58" s="33"/>
      <c r="D58" s="1">
        <f t="shared" si="27"/>
        <v>2044</v>
      </c>
      <c r="E58" s="3">
        <f t="shared" si="31"/>
        <v>24</v>
      </c>
      <c r="F58" s="3"/>
      <c r="G58" s="3">
        <f t="shared" si="24"/>
        <v>1106772.24</v>
      </c>
      <c r="H58" s="3">
        <f t="shared" si="28"/>
        <v>131868000</v>
      </c>
      <c r="I58" s="3">
        <f t="shared" si="25"/>
        <v>112275165</v>
      </c>
      <c r="J58" s="3"/>
      <c r="K58" s="3"/>
      <c r="L58" s="17">
        <f t="shared" si="30"/>
        <v>14971319.310000001</v>
      </c>
      <c r="M58" s="17">
        <f t="shared" si="26"/>
        <v>14971319.310000001</v>
      </c>
      <c r="N58" s="3">
        <f t="shared" si="19"/>
        <v>281897.93712230015</v>
      </c>
      <c r="O58" s="3">
        <f t="shared" si="21"/>
        <v>863450.04388326698</v>
      </c>
    </row>
    <row r="59" spans="3:17" x14ac:dyDescent="0.25">
      <c r="C59" s="33"/>
      <c r="D59" s="1">
        <f t="shared" si="27"/>
        <v>2045</v>
      </c>
      <c r="E59" s="3">
        <f t="shared" si="31"/>
        <v>25</v>
      </c>
      <c r="F59" s="3"/>
      <c r="G59" s="3">
        <f t="shared" si="24"/>
        <v>1106772.24</v>
      </c>
      <c r="H59" s="3">
        <f t="shared" si="28"/>
        <v>131868000</v>
      </c>
      <c r="I59" s="3">
        <f t="shared" si="25"/>
        <v>112275165</v>
      </c>
      <c r="J59" s="3"/>
      <c r="K59" s="3"/>
      <c r="L59" s="17">
        <f t="shared" si="30"/>
        <v>14971319.310000001</v>
      </c>
      <c r="M59" s="17">
        <f t="shared" si="26"/>
        <v>14971319.310000001</v>
      </c>
      <c r="N59" s="3">
        <f t="shared" si="19"/>
        <v>238896.55688330522</v>
      </c>
      <c r="O59" s="3">
        <f t="shared" si="21"/>
        <v>1102346.6007665722</v>
      </c>
      <c r="P59" s="31" t="s">
        <v>36</v>
      </c>
      <c r="Q59" s="31">
        <f>O60</f>
        <v>1323509.6855999178</v>
      </c>
    </row>
    <row r="60" spans="3:17" x14ac:dyDescent="0.25">
      <c r="C60" s="33"/>
      <c r="D60" s="1">
        <f t="shared" si="27"/>
        <v>2046</v>
      </c>
      <c r="E60" s="3">
        <f t="shared" si="31"/>
        <v>26</v>
      </c>
      <c r="F60" s="3">
        <f>B8</f>
        <v>3225212</v>
      </c>
      <c r="G60" s="3">
        <f t="shared" si="24"/>
        <v>1106772.24</v>
      </c>
      <c r="H60" s="3">
        <f>$B$9+B12</f>
        <v>133712620.40000001</v>
      </c>
      <c r="I60" s="3">
        <f t="shared" si="25"/>
        <v>112275165</v>
      </c>
      <c r="J60" s="3"/>
      <c r="K60" s="3"/>
      <c r="L60" s="17">
        <f t="shared" si="30"/>
        <v>16354784.610000005</v>
      </c>
      <c r="M60" s="17">
        <f t="shared" si="26"/>
        <v>16354784.610000005</v>
      </c>
      <c r="N60" s="3">
        <f t="shared" si="19"/>
        <v>221163.0848333457</v>
      </c>
      <c r="O60" s="6">
        <f t="shared" si="21"/>
        <v>1323509.6855999178</v>
      </c>
      <c r="P60" s="31" t="s">
        <v>37</v>
      </c>
      <c r="Q60" s="31">
        <v>20</v>
      </c>
    </row>
    <row r="62" spans="3:17" x14ac:dyDescent="0.25">
      <c r="C62" s="33" t="s">
        <v>38</v>
      </c>
      <c r="E62" s="3" t="s">
        <v>13</v>
      </c>
      <c r="F62" s="3">
        <v>0.18</v>
      </c>
    </row>
    <row r="63" spans="3:17" x14ac:dyDescent="0.25">
      <c r="C63" s="33"/>
      <c r="E63" s="3" t="s">
        <v>12</v>
      </c>
      <c r="F63" s="3">
        <v>7</v>
      </c>
    </row>
    <row r="64" spans="3:17" ht="15.6" x14ac:dyDescent="0.3">
      <c r="C64" s="33"/>
      <c r="E64" s="10" t="s">
        <v>5</v>
      </c>
      <c r="F64" s="11">
        <f>(I76*F62*(1+F62)^F63)/(((1+F62)^F63)-1)</f>
        <v>6037275.8136225985</v>
      </c>
      <c r="G64"/>
      <c r="H64"/>
      <c r="I64"/>
    </row>
    <row r="65" spans="3:9" ht="14.4" x14ac:dyDescent="0.3">
      <c r="C65" s="33"/>
      <c r="E65"/>
      <c r="F65"/>
      <c r="G65"/>
      <c r="H65"/>
      <c r="I65"/>
    </row>
    <row r="66" spans="3:9" ht="14.4" x14ac:dyDescent="0.3">
      <c r="C66" s="33"/>
      <c r="E66"/>
      <c r="F66"/>
      <c r="G66"/>
      <c r="H66"/>
      <c r="I66"/>
    </row>
    <row r="67" spans="3:9" ht="15.6" x14ac:dyDescent="0.25">
      <c r="C67" s="33"/>
      <c r="E67" s="12" t="s">
        <v>6</v>
      </c>
      <c r="F67" s="13" t="s">
        <v>5</v>
      </c>
      <c r="G67" s="13" t="s">
        <v>7</v>
      </c>
      <c r="H67" s="13" t="s">
        <v>8</v>
      </c>
      <c r="I67" s="13" t="s">
        <v>9</v>
      </c>
    </row>
    <row r="68" spans="3:9" ht="15.6" x14ac:dyDescent="0.25">
      <c r="C68" s="33"/>
      <c r="E68" s="14">
        <v>0</v>
      </c>
      <c r="F68" s="15"/>
      <c r="G68" s="15"/>
      <c r="H68" s="15"/>
      <c r="I68" s="15">
        <v>0</v>
      </c>
    </row>
    <row r="69" spans="3:9" ht="15.6" x14ac:dyDescent="0.25">
      <c r="C69" s="33"/>
      <c r="E69" s="14">
        <v>1</v>
      </c>
      <c r="F69" s="15"/>
      <c r="G69" s="15"/>
      <c r="H69" s="15"/>
      <c r="I69" s="15">
        <f>(1/3)*(B2+B8)</f>
        <v>7223805.333333333</v>
      </c>
    </row>
    <row r="70" spans="3:9" ht="15.6" x14ac:dyDescent="0.25">
      <c r="C70" s="33"/>
      <c r="E70" s="14">
        <v>2</v>
      </c>
      <c r="F70" s="15"/>
      <c r="G70" s="15"/>
      <c r="H70" s="15"/>
      <c r="I70" s="15">
        <f t="shared" ref="I70:I76" si="32">(1+$F$62)*I69</f>
        <v>8524090.293333333</v>
      </c>
    </row>
    <row r="71" spans="3:9" ht="15.6" x14ac:dyDescent="0.25">
      <c r="C71" s="33"/>
      <c r="E71" s="14">
        <v>3</v>
      </c>
      <c r="F71" s="15"/>
      <c r="G71" s="15"/>
      <c r="H71" s="15"/>
      <c r="I71" s="15">
        <f t="shared" si="32"/>
        <v>10058426.546133332</v>
      </c>
    </row>
    <row r="72" spans="3:9" ht="15.6" x14ac:dyDescent="0.25">
      <c r="C72" s="33"/>
      <c r="E72" s="14">
        <v>4</v>
      </c>
      <c r="F72" s="15"/>
      <c r="G72" s="15"/>
      <c r="H72" s="15"/>
      <c r="I72" s="15">
        <f t="shared" si="32"/>
        <v>11868943.324437331</v>
      </c>
    </row>
    <row r="73" spans="3:9" ht="15.6" x14ac:dyDescent="0.25">
      <c r="C73" s="33"/>
      <c r="E73" s="14">
        <v>5</v>
      </c>
      <c r="F73" s="15"/>
      <c r="G73" s="15"/>
      <c r="H73" s="15"/>
      <c r="I73" s="15">
        <f t="shared" si="32"/>
        <v>14005353.12283605</v>
      </c>
    </row>
    <row r="74" spans="3:9" ht="15.6" x14ac:dyDescent="0.25">
      <c r="C74" s="33"/>
      <c r="E74" s="14">
        <v>6</v>
      </c>
      <c r="F74" s="15"/>
      <c r="G74" s="15"/>
      <c r="H74" s="15"/>
      <c r="I74" s="15">
        <f t="shared" si="32"/>
        <v>16526316.684946537</v>
      </c>
    </row>
    <row r="75" spans="3:9" ht="15.6" x14ac:dyDescent="0.25">
      <c r="C75" s="33"/>
      <c r="E75" s="14">
        <v>7</v>
      </c>
      <c r="F75" s="15"/>
      <c r="G75" s="15"/>
      <c r="H75" s="15"/>
      <c r="I75" s="15">
        <f t="shared" si="32"/>
        <v>19501053.688236911</v>
      </c>
    </row>
    <row r="76" spans="3:9" ht="15.6" x14ac:dyDescent="0.25">
      <c r="C76" s="33"/>
      <c r="E76" s="14">
        <v>8</v>
      </c>
      <c r="F76" s="15"/>
      <c r="G76" s="15"/>
      <c r="H76" s="15"/>
      <c r="I76" s="15">
        <f t="shared" si="32"/>
        <v>23011243.352119554</v>
      </c>
    </row>
    <row r="77" spans="3:9" ht="15.6" x14ac:dyDescent="0.25">
      <c r="C77" s="33"/>
      <c r="D77" s="1">
        <v>2026</v>
      </c>
      <c r="E77" s="16">
        <f>E76+1</f>
        <v>9</v>
      </c>
      <c r="F77" s="15">
        <f t="shared" ref="F77:F83" si="33">$F$64</f>
        <v>6037275.8136225985</v>
      </c>
      <c r="G77" s="15">
        <f t="shared" ref="G77:G83" si="34">$F$62*I76</f>
        <v>4142023.8033815194</v>
      </c>
      <c r="H77" s="15">
        <f t="shared" ref="H77:H83" si="35">F77-G77</f>
        <v>1895252.0102410791</v>
      </c>
      <c r="I77" s="15">
        <f t="shared" ref="I77:I83" si="36">I76-H77</f>
        <v>21115991.341878474</v>
      </c>
    </row>
    <row r="78" spans="3:9" ht="15.6" x14ac:dyDescent="0.25">
      <c r="C78" s="33"/>
      <c r="D78" s="1">
        <f t="shared" ref="D78:E78" si="37">D77+1</f>
        <v>2027</v>
      </c>
      <c r="E78" s="16">
        <f t="shared" si="37"/>
        <v>10</v>
      </c>
      <c r="F78" s="15">
        <f t="shared" si="33"/>
        <v>6037275.8136225985</v>
      </c>
      <c r="G78" s="15">
        <f t="shared" si="34"/>
        <v>3800878.4415381253</v>
      </c>
      <c r="H78" s="15">
        <f t="shared" si="35"/>
        <v>2236397.3720844733</v>
      </c>
      <c r="I78" s="15">
        <f t="shared" si="36"/>
        <v>18879593.969794001</v>
      </c>
    </row>
    <row r="79" spans="3:9" ht="15.6" x14ac:dyDescent="0.25">
      <c r="C79" s="33"/>
      <c r="D79" s="1">
        <f t="shared" ref="D79" si="38">D78+1</f>
        <v>2028</v>
      </c>
      <c r="E79" s="16">
        <f t="shared" ref="E79:E83" si="39">E78+1</f>
        <v>11</v>
      </c>
      <c r="F79" s="15">
        <f t="shared" si="33"/>
        <v>6037275.8136225985</v>
      </c>
      <c r="G79" s="15">
        <f t="shared" si="34"/>
        <v>3398326.9145629201</v>
      </c>
      <c r="H79" s="15">
        <f t="shared" si="35"/>
        <v>2638948.8990596784</v>
      </c>
      <c r="I79" s="15">
        <f t="shared" si="36"/>
        <v>16240645.070734322</v>
      </c>
    </row>
    <row r="80" spans="3:9" ht="15.6" x14ac:dyDescent="0.25">
      <c r="C80" s="33"/>
      <c r="D80" s="1">
        <f t="shared" ref="D80" si="40">D79+1</f>
        <v>2029</v>
      </c>
      <c r="E80" s="16">
        <f t="shared" si="39"/>
        <v>12</v>
      </c>
      <c r="F80" s="15">
        <f t="shared" si="33"/>
        <v>6037275.8136225985</v>
      </c>
      <c r="G80" s="15">
        <f t="shared" si="34"/>
        <v>2923316.1127321781</v>
      </c>
      <c r="H80" s="15">
        <f t="shared" si="35"/>
        <v>3113959.7008904205</v>
      </c>
      <c r="I80" s="15">
        <f t="shared" si="36"/>
        <v>13126685.369843902</v>
      </c>
    </row>
    <row r="81" spans="3:38" ht="15.6" x14ac:dyDescent="0.25">
      <c r="C81" s="33"/>
      <c r="D81" s="1">
        <f t="shared" ref="D81" si="41">D80+1</f>
        <v>2030</v>
      </c>
      <c r="E81" s="16">
        <f t="shared" si="39"/>
        <v>13</v>
      </c>
      <c r="F81" s="15">
        <f t="shared" si="33"/>
        <v>6037275.8136225985</v>
      </c>
      <c r="G81" s="15">
        <f t="shared" si="34"/>
        <v>2362803.3665719023</v>
      </c>
      <c r="H81" s="15">
        <f t="shared" si="35"/>
        <v>3674472.4470506962</v>
      </c>
      <c r="I81" s="15">
        <f t="shared" si="36"/>
        <v>9452212.9227932058</v>
      </c>
    </row>
    <row r="82" spans="3:38" ht="15.6" x14ac:dyDescent="0.25">
      <c r="C82" s="33"/>
      <c r="D82" s="1">
        <f t="shared" ref="D82" si="42">D81+1</f>
        <v>2031</v>
      </c>
      <c r="E82" s="16">
        <f t="shared" si="39"/>
        <v>14</v>
      </c>
      <c r="F82" s="15">
        <f t="shared" si="33"/>
        <v>6037275.8136225985</v>
      </c>
      <c r="G82" s="15">
        <f t="shared" si="34"/>
        <v>1701398.3261027769</v>
      </c>
      <c r="H82" s="15">
        <f t="shared" si="35"/>
        <v>4335877.4875198212</v>
      </c>
      <c r="I82" s="15">
        <f t="shared" si="36"/>
        <v>5116335.4352733847</v>
      </c>
    </row>
    <row r="83" spans="3:38" ht="15.6" x14ac:dyDescent="0.25">
      <c r="C83" s="33"/>
      <c r="D83" s="1">
        <f t="shared" ref="D83" si="43">D82+1</f>
        <v>2032</v>
      </c>
      <c r="E83" s="16">
        <f t="shared" si="39"/>
        <v>15</v>
      </c>
      <c r="F83" s="15">
        <f t="shared" si="33"/>
        <v>6037275.8136225985</v>
      </c>
      <c r="G83" s="15">
        <f t="shared" si="34"/>
        <v>920940.3783492092</v>
      </c>
      <c r="H83" s="15">
        <f t="shared" si="35"/>
        <v>5116335.4352733893</v>
      </c>
      <c r="I83" s="15">
        <f t="shared" si="36"/>
        <v>0</v>
      </c>
    </row>
    <row r="94" spans="3:38" x14ac:dyDescent="0.25"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3:38" x14ac:dyDescent="0.25"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3:38" x14ac:dyDescent="0.25"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3:38" x14ac:dyDescent="0.25"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3:38" x14ac:dyDescent="0.25"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3:38" x14ac:dyDescent="0.25"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3:38" x14ac:dyDescent="0.25"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3:38" x14ac:dyDescent="0.25"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3:38" x14ac:dyDescent="0.25"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3:38" x14ac:dyDescent="0.25"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3:38" x14ac:dyDescent="0.25"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3:38" x14ac:dyDescent="0.25"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3:38" x14ac:dyDescent="0.25"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3:38" x14ac:dyDescent="0.25"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3:38" x14ac:dyDescent="0.25"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3:38" x14ac:dyDescent="0.25"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3:38" x14ac:dyDescent="0.25"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3:38" x14ac:dyDescent="0.25"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3:38" x14ac:dyDescent="0.25"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3:38" x14ac:dyDescent="0.25"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3:38" ht="15.6" x14ac:dyDescent="0.25">
      <c r="C114" s="20"/>
      <c r="D114" s="20"/>
      <c r="E114" s="20"/>
      <c r="F114" s="23"/>
      <c r="G114" s="23"/>
      <c r="H114" s="23"/>
      <c r="I114" s="23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3:38" ht="15.6" x14ac:dyDescent="0.25">
      <c r="C115" s="20"/>
      <c r="D115" s="20"/>
      <c r="E115" s="20"/>
      <c r="F115" s="23"/>
      <c r="G115" s="23"/>
      <c r="H115" s="23"/>
      <c r="I115" s="23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3:38" ht="15.6" x14ac:dyDescent="0.25">
      <c r="C116" s="20"/>
      <c r="D116" s="20"/>
      <c r="E116" s="20"/>
      <c r="F116" s="23"/>
      <c r="G116" s="23"/>
      <c r="H116" s="23"/>
      <c r="I116" s="23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3:38" ht="15.6" x14ac:dyDescent="0.25">
      <c r="C117" s="20"/>
      <c r="D117" s="20"/>
      <c r="E117" s="20"/>
      <c r="F117" s="23"/>
      <c r="G117" s="23"/>
      <c r="H117" s="23"/>
      <c r="I117" s="23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3:38" ht="15.6" x14ac:dyDescent="0.25">
      <c r="C118" s="20"/>
      <c r="D118" s="20"/>
      <c r="E118" s="20"/>
      <c r="F118" s="23"/>
      <c r="G118" s="23"/>
      <c r="H118" s="23"/>
      <c r="I118" s="23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3:38" ht="15.6" x14ac:dyDescent="0.25">
      <c r="C119" s="20"/>
      <c r="D119" s="20"/>
      <c r="E119" s="20"/>
      <c r="F119" s="23"/>
      <c r="G119" s="23"/>
      <c r="H119" s="23"/>
      <c r="I119" s="23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3:38" ht="15.6" x14ac:dyDescent="0.25">
      <c r="C120" s="20"/>
      <c r="D120" s="20"/>
      <c r="E120" s="20"/>
      <c r="F120" s="23"/>
      <c r="G120" s="23"/>
      <c r="H120" s="23"/>
      <c r="I120" s="23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3:38" ht="15.6" x14ac:dyDescent="0.25">
      <c r="C121" s="20"/>
      <c r="D121" s="20"/>
      <c r="E121" s="20"/>
      <c r="F121" s="23"/>
      <c r="G121" s="23"/>
      <c r="H121" s="23"/>
      <c r="I121" s="23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3:38" x14ac:dyDescent="0.25"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3:38" x14ac:dyDescent="0.25"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3:38" x14ac:dyDescent="0.25"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3:38" x14ac:dyDescent="0.25"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3:38" x14ac:dyDescent="0.25"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3:38" x14ac:dyDescent="0.25"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3:38" x14ac:dyDescent="0.25"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3:38" x14ac:dyDescent="0.25"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3:38" x14ac:dyDescent="0.25"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3:38" x14ac:dyDescent="0.25"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3:38" x14ac:dyDescent="0.25">
      <c r="C132" s="20"/>
      <c r="D132" s="20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3:38" x14ac:dyDescent="0.25"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1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3:38" x14ac:dyDescent="0.25"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2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3:38" x14ac:dyDescent="0.25"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1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3:38" x14ac:dyDescent="0.25">
      <c r="C136" s="20"/>
      <c r="D136" s="20"/>
      <c r="E136" s="20"/>
      <c r="F136" s="20"/>
      <c r="G136" s="20"/>
      <c r="H136" s="20"/>
      <c r="I136" s="20"/>
      <c r="J136" s="25"/>
      <c r="K136" s="25"/>
      <c r="L136" s="25"/>
      <c r="M136" s="20"/>
      <c r="N136" s="20"/>
      <c r="O136" s="20"/>
      <c r="P136" s="21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3:38" x14ac:dyDescent="0.25">
      <c r="C137" s="20"/>
      <c r="D137" s="20"/>
      <c r="E137" s="20"/>
      <c r="F137" s="20"/>
      <c r="G137" s="20"/>
      <c r="H137" s="20"/>
      <c r="I137" s="20"/>
      <c r="J137" s="25"/>
      <c r="K137" s="25"/>
      <c r="L137" s="25"/>
      <c r="M137" s="20"/>
      <c r="N137" s="20"/>
      <c r="O137" s="20"/>
      <c r="P137" s="26"/>
      <c r="Q137" s="26"/>
      <c r="R137" s="26"/>
      <c r="S137" s="26"/>
      <c r="T137" s="26"/>
      <c r="U137" s="26"/>
      <c r="V137" s="26"/>
      <c r="W137" s="26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3:38" x14ac:dyDescent="0.25">
      <c r="C138" s="20"/>
      <c r="D138" s="20"/>
      <c r="E138" s="20"/>
      <c r="F138" s="20"/>
      <c r="G138" s="20"/>
      <c r="H138" s="20"/>
      <c r="I138" s="20"/>
      <c r="J138" s="25"/>
      <c r="K138" s="25"/>
      <c r="L138" s="25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3:38" x14ac:dyDescent="0.25">
      <c r="C139" s="20"/>
      <c r="D139" s="20"/>
      <c r="E139" s="20"/>
      <c r="F139" s="20"/>
      <c r="G139" s="20"/>
      <c r="H139" s="20"/>
      <c r="I139" s="20"/>
      <c r="J139" s="25"/>
      <c r="K139" s="25"/>
      <c r="L139" s="25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3:38" x14ac:dyDescent="0.25">
      <c r="C140" s="20"/>
      <c r="D140" s="20"/>
      <c r="E140" s="20"/>
      <c r="F140" s="20"/>
      <c r="G140" s="20"/>
      <c r="H140" s="20"/>
      <c r="I140" s="20"/>
      <c r="J140" s="25"/>
      <c r="K140" s="25"/>
      <c r="L140" s="25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3:38" x14ac:dyDescent="0.25">
      <c r="C141" s="20"/>
      <c r="D141" s="20"/>
      <c r="E141" s="20"/>
      <c r="F141" s="20"/>
      <c r="G141" s="20"/>
      <c r="H141" s="20"/>
      <c r="I141" s="20"/>
      <c r="J141" s="25"/>
      <c r="K141" s="25"/>
      <c r="L141" s="25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3:38" x14ac:dyDescent="0.25">
      <c r="C142" s="20"/>
      <c r="D142" s="20"/>
      <c r="E142" s="20"/>
      <c r="F142" s="20"/>
      <c r="G142" s="20"/>
      <c r="H142" s="20"/>
      <c r="I142" s="20"/>
      <c r="J142" s="25"/>
      <c r="K142" s="25"/>
      <c r="L142" s="25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3:38" x14ac:dyDescent="0.25">
      <c r="C143" s="20"/>
      <c r="D143" s="20"/>
      <c r="E143" s="20"/>
      <c r="F143" s="20"/>
      <c r="G143" s="20"/>
      <c r="H143" s="20"/>
      <c r="I143" s="20"/>
      <c r="J143" s="25"/>
      <c r="K143" s="25"/>
      <c r="L143" s="25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3:38" x14ac:dyDescent="0.25">
      <c r="C144" s="20"/>
      <c r="D144" s="20"/>
      <c r="E144" s="20"/>
      <c r="F144" s="20"/>
      <c r="G144" s="20"/>
      <c r="H144" s="20"/>
      <c r="I144" s="20"/>
      <c r="J144" s="25"/>
      <c r="K144" s="25"/>
      <c r="L144" s="25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3:38" x14ac:dyDescent="0.25">
      <c r="C145" s="20"/>
      <c r="D145" s="20"/>
      <c r="E145" s="20"/>
      <c r="F145" s="20"/>
      <c r="G145" s="20"/>
      <c r="H145" s="20"/>
      <c r="I145" s="20"/>
      <c r="J145" s="25"/>
      <c r="K145" s="25"/>
      <c r="L145" s="25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3:38" x14ac:dyDescent="0.25">
      <c r="C146" s="20"/>
      <c r="D146" s="20"/>
      <c r="E146" s="20"/>
      <c r="F146" s="20"/>
      <c r="G146" s="20"/>
      <c r="H146" s="20"/>
      <c r="I146" s="20"/>
      <c r="J146" s="25"/>
      <c r="K146" s="25"/>
      <c r="L146" s="25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3:38" x14ac:dyDescent="0.25">
      <c r="C147" s="20"/>
      <c r="D147" s="20"/>
      <c r="E147" s="20"/>
      <c r="F147" s="20"/>
      <c r="G147" s="20"/>
      <c r="H147" s="20"/>
      <c r="I147" s="20"/>
      <c r="J147" s="25"/>
      <c r="K147" s="25"/>
      <c r="L147" s="25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3:38" x14ac:dyDescent="0.25">
      <c r="C148" s="20"/>
      <c r="D148" s="20"/>
      <c r="E148" s="20"/>
      <c r="F148" s="20"/>
      <c r="G148" s="20"/>
      <c r="H148" s="20"/>
      <c r="I148" s="20"/>
      <c r="J148" s="25"/>
      <c r="K148" s="25"/>
      <c r="L148" s="25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3:38" x14ac:dyDescent="0.25">
      <c r="C149" s="20"/>
      <c r="D149" s="20"/>
      <c r="E149" s="20"/>
      <c r="F149" s="20"/>
      <c r="G149" s="20"/>
      <c r="H149" s="20"/>
      <c r="I149" s="20"/>
      <c r="J149" s="25"/>
      <c r="K149" s="20"/>
      <c r="L149" s="25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3:38" x14ac:dyDescent="0.25">
      <c r="C150" s="20"/>
      <c r="D150" s="20"/>
      <c r="E150" s="20"/>
      <c r="F150" s="20"/>
      <c r="G150" s="20"/>
      <c r="H150" s="20"/>
      <c r="I150" s="20"/>
      <c r="J150" s="20"/>
      <c r="K150" s="20"/>
      <c r="L150" s="25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3:38" x14ac:dyDescent="0.25"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3:38" x14ac:dyDescent="0.25"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3:38" x14ac:dyDescent="0.25"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3:38" x14ac:dyDescent="0.25"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3:38" x14ac:dyDescent="0.25"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3:38" ht="15.6" x14ac:dyDescent="0.3">
      <c r="C156" s="20"/>
      <c r="D156" s="20"/>
      <c r="E156" s="27"/>
      <c r="F156" s="28"/>
      <c r="G156" s="29"/>
      <c r="H156" s="29"/>
      <c r="I156" s="29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3:38" ht="14.4" x14ac:dyDescent="0.3">
      <c r="C157" s="20"/>
      <c r="D157" s="20"/>
      <c r="E157" s="29"/>
      <c r="F157" s="29"/>
      <c r="G157" s="29"/>
      <c r="H157" s="29"/>
      <c r="I157" s="29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3:38" ht="14.4" x14ac:dyDescent="0.3">
      <c r="C158" s="20"/>
      <c r="D158" s="20"/>
      <c r="E158" s="29"/>
      <c r="F158" s="29"/>
      <c r="G158" s="29"/>
      <c r="H158" s="29"/>
      <c r="I158" s="29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3:38" ht="15.6" x14ac:dyDescent="0.25">
      <c r="C159" s="20"/>
      <c r="D159" s="20"/>
      <c r="E159" s="27"/>
      <c r="F159" s="27"/>
      <c r="G159" s="27"/>
      <c r="H159" s="27"/>
      <c r="I159" s="27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3:38" ht="15.6" x14ac:dyDescent="0.25">
      <c r="C160" s="20"/>
      <c r="D160" s="20"/>
      <c r="E160" s="30"/>
      <c r="F160" s="23"/>
      <c r="G160" s="23"/>
      <c r="H160" s="23"/>
      <c r="I160" s="23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3:38" ht="15.6" x14ac:dyDescent="0.25">
      <c r="C161" s="20"/>
      <c r="D161" s="20"/>
      <c r="E161" s="30"/>
      <c r="F161" s="23"/>
      <c r="G161" s="23"/>
      <c r="H161" s="23"/>
      <c r="I161" s="23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3:38" ht="15.6" x14ac:dyDescent="0.25">
      <c r="C162" s="20"/>
      <c r="D162" s="20"/>
      <c r="E162" s="30"/>
      <c r="F162" s="23"/>
      <c r="G162" s="23"/>
      <c r="H162" s="23"/>
      <c r="I162" s="23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3:38" ht="15.6" x14ac:dyDescent="0.25">
      <c r="C163" s="20"/>
      <c r="D163" s="20"/>
      <c r="E163" s="30"/>
      <c r="F163" s="23"/>
      <c r="G163" s="23"/>
      <c r="H163" s="23"/>
      <c r="I163" s="23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3:38" ht="15.6" x14ac:dyDescent="0.25">
      <c r="C164" s="20"/>
      <c r="D164" s="20"/>
      <c r="E164" s="30"/>
      <c r="F164" s="23"/>
      <c r="G164" s="23"/>
      <c r="H164" s="23"/>
      <c r="I164" s="23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3:38" ht="15.6" x14ac:dyDescent="0.25">
      <c r="C165" s="20"/>
      <c r="D165" s="20"/>
      <c r="E165" s="30"/>
      <c r="F165" s="23"/>
      <c r="G165" s="23"/>
      <c r="H165" s="23"/>
      <c r="I165" s="23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3:38" ht="15.6" x14ac:dyDescent="0.25">
      <c r="C166" s="20"/>
      <c r="D166" s="20"/>
      <c r="E166" s="30"/>
      <c r="F166" s="23"/>
      <c r="G166" s="23"/>
      <c r="H166" s="23"/>
      <c r="I166" s="23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3:38" ht="15.6" x14ac:dyDescent="0.25">
      <c r="C167" s="20"/>
      <c r="D167" s="20"/>
      <c r="E167" s="30"/>
      <c r="F167" s="23"/>
      <c r="G167" s="23"/>
      <c r="H167" s="23"/>
      <c r="I167" s="23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3:38" ht="15.6" x14ac:dyDescent="0.25">
      <c r="C168" s="20"/>
      <c r="D168" s="20"/>
      <c r="E168" s="30"/>
      <c r="F168" s="23"/>
      <c r="G168" s="23"/>
      <c r="H168" s="23"/>
      <c r="I168" s="23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3:38" ht="15.6" x14ac:dyDescent="0.25">
      <c r="C169" s="20"/>
      <c r="D169" s="20"/>
      <c r="E169" s="30"/>
      <c r="F169" s="23"/>
      <c r="G169" s="23"/>
      <c r="H169" s="23"/>
      <c r="I169" s="23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3:38" ht="15.6" x14ac:dyDescent="0.25">
      <c r="C170" s="20"/>
      <c r="D170" s="20"/>
      <c r="E170" s="30"/>
      <c r="F170" s="23"/>
      <c r="G170" s="23"/>
      <c r="H170" s="23"/>
      <c r="I170" s="23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3:38" ht="15.6" x14ac:dyDescent="0.25">
      <c r="C171" s="20"/>
      <c r="D171" s="20"/>
      <c r="E171" s="30"/>
      <c r="F171" s="23"/>
      <c r="G171" s="23"/>
      <c r="H171" s="23"/>
      <c r="I171" s="23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3:38" ht="15.6" x14ac:dyDescent="0.25">
      <c r="C172" s="20"/>
      <c r="D172" s="20"/>
      <c r="E172" s="30"/>
      <c r="F172" s="23"/>
      <c r="G172" s="23"/>
      <c r="H172" s="23"/>
      <c r="I172" s="23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3:38" ht="15.6" x14ac:dyDescent="0.25">
      <c r="C173" s="20"/>
      <c r="D173" s="20"/>
      <c r="E173" s="30"/>
      <c r="F173" s="23"/>
      <c r="G173" s="23"/>
      <c r="H173" s="23"/>
      <c r="I173" s="23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3:38" ht="15.6" x14ac:dyDescent="0.25">
      <c r="C174" s="20"/>
      <c r="D174" s="20"/>
      <c r="E174" s="30"/>
      <c r="F174" s="23"/>
      <c r="G174" s="23"/>
      <c r="H174" s="23"/>
      <c r="I174" s="23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3:38" ht="15.6" x14ac:dyDescent="0.25">
      <c r="C175" s="20"/>
      <c r="D175" s="20"/>
      <c r="E175" s="30"/>
      <c r="F175" s="23"/>
      <c r="G175" s="23"/>
      <c r="H175" s="23"/>
      <c r="I175" s="23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3:38" ht="15.6" x14ac:dyDescent="0.25">
      <c r="C176" s="20"/>
      <c r="D176" s="20"/>
      <c r="E176" s="30"/>
      <c r="F176" s="23"/>
      <c r="G176" s="23"/>
      <c r="H176" s="23"/>
      <c r="I176" s="23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3:38" x14ac:dyDescent="0.25"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3:38" x14ac:dyDescent="0.25"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3:38" x14ac:dyDescent="0.25"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3:38" x14ac:dyDescent="0.25"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3:38" x14ac:dyDescent="0.25"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3:38" x14ac:dyDescent="0.25"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3:38" x14ac:dyDescent="0.25"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3:38" x14ac:dyDescent="0.25"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3:38" x14ac:dyDescent="0.25"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3:38" x14ac:dyDescent="0.25"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3:38" x14ac:dyDescent="0.25"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3:38" x14ac:dyDescent="0.25"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3:38" x14ac:dyDescent="0.25"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3:38" x14ac:dyDescent="0.25"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3:38" x14ac:dyDescent="0.25"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3:38" x14ac:dyDescent="0.25"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3:38" x14ac:dyDescent="0.25"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3:38" x14ac:dyDescent="0.25"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3:38" x14ac:dyDescent="0.25"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3:38" x14ac:dyDescent="0.25"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3:38" x14ac:dyDescent="0.25"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3:38" x14ac:dyDescent="0.25"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3:38" x14ac:dyDescent="0.25"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3:38" x14ac:dyDescent="0.25"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3:38" x14ac:dyDescent="0.25"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3:38" x14ac:dyDescent="0.25"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3:38" x14ac:dyDescent="0.25"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3:38" x14ac:dyDescent="0.25"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3:38" x14ac:dyDescent="0.25"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3:38" x14ac:dyDescent="0.25"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3:38" x14ac:dyDescent="0.25"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3:38" x14ac:dyDescent="0.25"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3:38" x14ac:dyDescent="0.25"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3:38" x14ac:dyDescent="0.25"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3:38" x14ac:dyDescent="0.25"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3:38" x14ac:dyDescent="0.25"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3:38" x14ac:dyDescent="0.25"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3:38" x14ac:dyDescent="0.25"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3:38" x14ac:dyDescent="0.25"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3:38" x14ac:dyDescent="0.25"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3:38" x14ac:dyDescent="0.25"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3:38" x14ac:dyDescent="0.25"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3:38" x14ac:dyDescent="0.25"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3:38" x14ac:dyDescent="0.25"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3:38" x14ac:dyDescent="0.25"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3:38" x14ac:dyDescent="0.25"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3:38" x14ac:dyDescent="0.25"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3:38" x14ac:dyDescent="0.25"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3:38" x14ac:dyDescent="0.25"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3:38" x14ac:dyDescent="0.25"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3:38" x14ac:dyDescent="0.25"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3:38" x14ac:dyDescent="0.25"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3:38" x14ac:dyDescent="0.25"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3:38" x14ac:dyDescent="0.25"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3:38" x14ac:dyDescent="0.25"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3:38" x14ac:dyDescent="0.25"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3:38" x14ac:dyDescent="0.25"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3:38" x14ac:dyDescent="0.25"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3:38" x14ac:dyDescent="0.25"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3:38" x14ac:dyDescent="0.25"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3:38" x14ac:dyDescent="0.25"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3:38" x14ac:dyDescent="0.25"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3:38" x14ac:dyDescent="0.25"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3:38" x14ac:dyDescent="0.25"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3:38" x14ac:dyDescent="0.25"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3:38" x14ac:dyDescent="0.25"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3:38" x14ac:dyDescent="0.25"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3:38" x14ac:dyDescent="0.25"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</sheetData>
  <mergeCells count="5">
    <mergeCell ref="N5:Q5"/>
    <mergeCell ref="R5:U5"/>
    <mergeCell ref="C1:C28"/>
    <mergeCell ref="C33:C60"/>
    <mergeCell ref="C62:C8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2C60-5EBE-473A-B8F3-1B82963955C4}">
  <dimension ref="A1:B19"/>
  <sheetViews>
    <sheetView tabSelected="1" workbookViewId="0">
      <selection activeCell="P13" sqref="P13"/>
    </sheetView>
  </sheetViews>
  <sheetFormatPr defaultRowHeight="14.4" x14ac:dyDescent="0.3"/>
  <cols>
    <col min="1" max="1" width="11.33203125" bestFit="1" customWidth="1"/>
    <col min="2" max="2" width="25.44140625" bestFit="1" customWidth="1"/>
  </cols>
  <sheetData>
    <row r="1" spans="1:2" x14ac:dyDescent="0.3">
      <c r="A1" s="5" t="s">
        <v>10</v>
      </c>
      <c r="B1" s="5" t="s">
        <v>4</v>
      </c>
    </row>
    <row r="2" spans="1:2" x14ac:dyDescent="0.3">
      <c r="A2" s="3">
        <v>0</v>
      </c>
      <c r="B2" s="3">
        <f ca="1">A2/(1+$B$11)^#REF!</f>
        <v>-200000000000</v>
      </c>
    </row>
    <row r="3" spans="1:2" x14ac:dyDescent="0.3">
      <c r="A3" s="3">
        <f>A2+1</f>
        <v>1</v>
      </c>
      <c r="B3" s="3">
        <f t="shared" ref="B3:B19" ca="1" si="0">A3/(1+$B$11)^#REF!</f>
        <v>0</v>
      </c>
    </row>
    <row r="4" spans="1:2" x14ac:dyDescent="0.3">
      <c r="A4" s="3">
        <f t="shared" ref="A4:A12" si="1">A3+1</f>
        <v>2</v>
      </c>
      <c r="B4" s="3">
        <f t="shared" ref="B4:B19" ca="1" si="2">A4/(1+$B$11)^#REF!</f>
        <v>-194589979153.81769</v>
      </c>
    </row>
    <row r="5" spans="1:2" x14ac:dyDescent="0.3">
      <c r="A5" s="3">
        <f t="shared" si="1"/>
        <v>3</v>
      </c>
      <c r="B5" s="3">
        <f t="shared" ref="B5:B19" ca="1" si="3">A5/(1+$B$11)^#REF!</f>
        <v>297446415222.15082</v>
      </c>
    </row>
    <row r="6" spans="1:2" x14ac:dyDescent="0.3">
      <c r="A6" s="3">
        <f t="shared" si="1"/>
        <v>4</v>
      </c>
      <c r="B6" s="3">
        <f t="shared" ref="B6:B19" ca="1" si="4">A6/(1+$B$11)^#REF!</f>
        <v>-526312004429.13824</v>
      </c>
    </row>
    <row r="7" spans="1:2" x14ac:dyDescent="0.3">
      <c r="A7" s="3">
        <f t="shared" si="1"/>
        <v>5</v>
      </c>
      <c r="B7" s="3">
        <f t="shared" ref="B7:B19" ca="1" si="5">A7/(1+$B$11)^#REF!</f>
        <v>-243631307049.37994</v>
      </c>
    </row>
    <row r="8" spans="1:2" x14ac:dyDescent="0.3">
      <c r="A8" s="3">
        <f t="shared" si="1"/>
        <v>6</v>
      </c>
      <c r="B8" s="3">
        <f t="shared" ref="B8:B19" ca="1" si="6">A8/(1+$B$11)^#REF!</f>
        <v>-73468085434.067184</v>
      </c>
    </row>
    <row r="9" spans="1:2" x14ac:dyDescent="0.3">
      <c r="A9" s="3">
        <f t="shared" si="1"/>
        <v>7</v>
      </c>
      <c r="B9" s="3">
        <f t="shared" ref="B9:B19" ca="1" si="7">A9/(1+$B$11)^#REF!</f>
        <v>24808799832.927784</v>
      </c>
    </row>
    <row r="10" spans="1:2" x14ac:dyDescent="0.3">
      <c r="A10" s="3">
        <f t="shared" si="1"/>
        <v>8</v>
      </c>
      <c r="B10" s="3">
        <f t="shared" ref="B10:B19" ca="1" si="8">A10/(1+$B$11)^#REF!</f>
        <v>77756628057.800201</v>
      </c>
    </row>
    <row r="11" spans="1:2" x14ac:dyDescent="0.3">
      <c r="A11" s="3">
        <f t="shared" si="1"/>
        <v>9</v>
      </c>
      <c r="B11" s="3">
        <f t="shared" ref="B11:B19" ca="1" si="9">A11/(1+$B$11)^#REF!</f>
        <v>102637926911.60283</v>
      </c>
    </row>
    <row r="12" spans="1:2" x14ac:dyDescent="0.3">
      <c r="A12" s="3">
        <f t="shared" si="1"/>
        <v>10</v>
      </c>
      <c r="B12" s="3">
        <f t="shared" ref="B12:B19" ca="1" si="10">A12/(1+$B$11)^#REF!</f>
        <v>156950083684.4931</v>
      </c>
    </row>
    <row r="13" spans="1:2" x14ac:dyDescent="0.3">
      <c r="A13" s="3">
        <f>A12+1</f>
        <v>11</v>
      </c>
      <c r="B13" s="3">
        <f t="shared" ref="B13:B19" ca="1" si="11">A13/(1+$B$11)^#REF!</f>
        <v>132721477234.93066</v>
      </c>
    </row>
    <row r="14" spans="1:2" x14ac:dyDescent="0.3">
      <c r="A14" s="3">
        <f>A13+1</f>
        <v>12</v>
      </c>
      <c r="B14" s="3">
        <f t="shared" ref="B14:B19" ca="1" si="12">A14/(1+$B$11)^#REF!</f>
        <v>111543323171.69926</v>
      </c>
    </row>
    <row r="15" spans="1:2" x14ac:dyDescent="0.3">
      <c r="A15" s="3">
        <f t="shared" ref="A15:A19" si="13">A14+1</f>
        <v>13</v>
      </c>
      <c r="B15" s="3">
        <f t="shared" ref="B15:B19" ca="1" si="14">A15/(1+$B$11)^#REF!</f>
        <v>93297586154.002686</v>
      </c>
    </row>
    <row r="16" spans="1:2" x14ac:dyDescent="0.3">
      <c r="A16" s="3">
        <f t="shared" si="13"/>
        <v>14</v>
      </c>
      <c r="B16" s="3">
        <f t="shared" ref="B16:B19" ca="1" si="15">A16/(1+$B$11)^#REF!</f>
        <v>77744996931.579483</v>
      </c>
    </row>
    <row r="17" spans="1:2" x14ac:dyDescent="0.3">
      <c r="A17" s="3">
        <f t="shared" si="13"/>
        <v>15</v>
      </c>
      <c r="B17" s="3">
        <f t="shared" ref="B17:B19" ca="1" si="16">A17/(1+$B$11)^#REF!</f>
        <v>64594101537.82914</v>
      </c>
    </row>
    <row r="18" spans="1:2" x14ac:dyDescent="0.3">
      <c r="A18" s="3">
        <f t="shared" si="13"/>
        <v>16</v>
      </c>
      <c r="B18" s="3">
        <f t="shared" ref="B18:B19" ca="1" si="17">A18/(1+$B$11)^#REF!</f>
        <v>53542203967.017189</v>
      </c>
    </row>
    <row r="19" spans="1:2" x14ac:dyDescent="0.3">
      <c r="A19" s="3">
        <f t="shared" si="13"/>
        <v>17</v>
      </c>
      <c r="B19" s="3">
        <f t="shared" ref="B19" ca="1" si="18">A19/(1+$B$11)^#REF!</f>
        <v>44957833360.370346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Based on USD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Akhlaghi</dc:creator>
  <cp:lastModifiedBy>Asus</cp:lastModifiedBy>
  <dcterms:created xsi:type="dcterms:W3CDTF">2024-01-19T13:55:34Z</dcterms:created>
  <dcterms:modified xsi:type="dcterms:W3CDTF">2026-08-23T10:04:04Z</dcterms:modified>
</cp:coreProperties>
</file>